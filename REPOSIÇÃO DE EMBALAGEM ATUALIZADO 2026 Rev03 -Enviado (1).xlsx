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8_{E87D1099-F34A-4321-9550-D4EF3DC7BB76}" xr6:coauthVersionLast="47" xr6:coauthVersionMax="47" xr10:uidLastSave="{00000000-0000-0000-0000-000000000000}"/>
  <bookViews>
    <workbookView xWindow="-120" yWindow="-120" windowWidth="29040" windowHeight="15720" tabRatio="769" firstSheet="2" activeTab="2" xr2:uid="{DBBF0099-F4A2-4A5C-BFAA-2FB260C6C33B}"/>
  </bookViews>
  <sheets>
    <sheet name="DESCRICAO PRODUTO" sheetId="25" state="hidden" r:id="rId1"/>
    <sheet name="DINAMICA" sheetId="39" state="hidden" r:id="rId2"/>
    <sheet name="SOLICITACOES " sheetId="1" r:id="rId3"/>
    <sheet name="PALETIZACAO" sheetId="36" state="hidden" r:id="rId4"/>
    <sheet name="CRONOGRAMA DE ENTREGA" sheetId="38" r:id="rId5"/>
    <sheet name="RESUMO- STATUS DE ENVIO" sheetId="35" r:id="rId6"/>
  </sheets>
  <externalReferences>
    <externalReference r:id="rId7"/>
  </externalReferences>
  <definedNames>
    <definedName name="_xlnm._FilterDatabase" localSheetId="0" hidden="1">'DESCRICAO PRODUTO'!$A$1:$C$134</definedName>
    <definedName name="_xlnm._FilterDatabase" localSheetId="2" hidden="1">'SOLICITACOES '!$A$1:$U$451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8" i="1" l="1"/>
  <c r="N439" i="1"/>
  <c r="K439" i="1"/>
  <c r="J439" i="1"/>
  <c r="J354" i="1"/>
  <c r="K354" i="1"/>
  <c r="J389" i="1"/>
  <c r="K389" i="1"/>
  <c r="J448" i="1"/>
  <c r="K448" i="1"/>
  <c r="N451" i="1" l="1"/>
  <c r="K451" i="1"/>
  <c r="J451" i="1"/>
  <c r="N369" i="1" l="1"/>
  <c r="K369" i="1"/>
  <c r="J369" i="1"/>
  <c r="L436" i="1"/>
  <c r="N436" i="1" s="1"/>
  <c r="K436" i="1"/>
  <c r="J436" i="1"/>
  <c r="N446" i="1" l="1"/>
  <c r="K446" i="1"/>
  <c r="J446" i="1"/>
  <c r="N440" i="1"/>
  <c r="N442" i="1"/>
  <c r="N444" i="1"/>
  <c r="N445" i="1"/>
  <c r="N447" i="1"/>
  <c r="N448" i="1"/>
  <c r="N449" i="1"/>
  <c r="N450" i="1"/>
  <c r="L443" i="1"/>
  <c r="N443" i="1" s="1"/>
  <c r="L441" i="1"/>
  <c r="N441" i="1" s="1"/>
  <c r="K443" i="1"/>
  <c r="J443" i="1"/>
  <c r="K441" i="1"/>
  <c r="J441" i="1"/>
  <c r="K440" i="1"/>
  <c r="K442" i="1"/>
  <c r="K444" i="1"/>
  <c r="K445" i="1"/>
  <c r="K447" i="1"/>
  <c r="K449" i="1"/>
  <c r="K450" i="1"/>
  <c r="J440" i="1" l="1"/>
  <c r="J442" i="1"/>
  <c r="J444" i="1"/>
  <c r="J445" i="1"/>
  <c r="J447" i="1"/>
  <c r="J449" i="1"/>
  <c r="J450" i="1"/>
  <c r="L373" i="1" l="1"/>
  <c r="N373" i="1" s="1"/>
  <c r="N431" i="1"/>
  <c r="K431" i="1"/>
  <c r="J431" i="1"/>
  <c r="L386" i="1"/>
  <c r="N386" i="1" s="1"/>
  <c r="K386" i="1"/>
  <c r="J386" i="1"/>
  <c r="N240" i="1" l="1"/>
  <c r="N239" i="1"/>
  <c r="N238" i="1"/>
  <c r="N160" i="1"/>
  <c r="N437" i="1"/>
  <c r="N434" i="1"/>
  <c r="N426" i="1"/>
  <c r="N430" i="1"/>
  <c r="N429" i="1"/>
  <c r="N428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68" i="1"/>
  <c r="N389" i="1"/>
  <c r="N388" i="1"/>
  <c r="N387" i="1"/>
  <c r="N385" i="1"/>
  <c r="N382" i="1"/>
  <c r="N381" i="1"/>
  <c r="N380" i="1"/>
  <c r="N379" i="1"/>
  <c r="N378" i="1"/>
  <c r="N377" i="1"/>
  <c r="N376" i="1"/>
  <c r="N375" i="1"/>
  <c r="N374" i="1"/>
  <c r="N371" i="1"/>
  <c r="N370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68" i="1"/>
  <c r="N267" i="1"/>
  <c r="N266" i="1"/>
  <c r="N265" i="1"/>
  <c r="N264" i="1"/>
  <c r="N263" i="1"/>
  <c r="N261" i="1"/>
  <c r="N260" i="1"/>
  <c r="N259" i="1"/>
  <c r="N258" i="1"/>
  <c r="N218" i="1"/>
  <c r="N217" i="1"/>
  <c r="N215" i="1"/>
  <c r="N214" i="1"/>
  <c r="N213" i="1"/>
  <c r="N212" i="1"/>
  <c r="N211" i="1"/>
  <c r="N209" i="1"/>
  <c r="N208" i="1"/>
  <c r="N206" i="1"/>
  <c r="N205" i="1"/>
  <c r="N203" i="1"/>
  <c r="N202" i="1"/>
  <c r="N180" i="1"/>
  <c r="N179" i="1"/>
  <c r="N159" i="1"/>
  <c r="N149" i="1"/>
  <c r="N130" i="1"/>
  <c r="N129" i="1"/>
  <c r="N127" i="1"/>
  <c r="N126" i="1"/>
  <c r="N124" i="1"/>
  <c r="N123" i="1"/>
  <c r="N122" i="1"/>
  <c r="N121" i="1"/>
  <c r="N119" i="1"/>
  <c r="N118" i="1"/>
  <c r="N116" i="1"/>
  <c r="N115" i="1"/>
  <c r="N113" i="1"/>
  <c r="N112" i="1"/>
  <c r="N111" i="1"/>
  <c r="N110" i="1"/>
  <c r="N109" i="1"/>
  <c r="N107" i="1"/>
  <c r="N106" i="1"/>
  <c r="N105" i="1"/>
  <c r="N104" i="1"/>
  <c r="N103" i="1"/>
  <c r="N101" i="1"/>
  <c r="N100" i="1"/>
  <c r="N52" i="1"/>
  <c r="N51" i="1"/>
  <c r="N50" i="1"/>
  <c r="N49" i="1"/>
  <c r="N48" i="1"/>
  <c r="N27" i="1"/>
  <c r="N25" i="1"/>
  <c r="K240" i="1"/>
  <c r="J240" i="1"/>
  <c r="K239" i="1"/>
  <c r="J239" i="1"/>
  <c r="K238" i="1"/>
  <c r="J238" i="1"/>
  <c r="K160" i="1"/>
  <c r="J160" i="1"/>
  <c r="J260" i="1"/>
  <c r="K122" i="1"/>
  <c r="J122" i="1"/>
  <c r="K121" i="1"/>
  <c r="J121" i="1"/>
  <c r="J261" i="1"/>
  <c r="N438" i="1"/>
  <c r="L262" i="1"/>
  <c r="N262" i="1" s="1"/>
  <c r="G12" i="36"/>
  <c r="H12" i="36"/>
  <c r="G10" i="36"/>
  <c r="H10" i="36"/>
  <c r="G23" i="36"/>
  <c r="H23" i="36"/>
  <c r="G26" i="36"/>
  <c r="H26" i="36"/>
  <c r="G16" i="36"/>
  <c r="G17" i="36"/>
  <c r="G5" i="36"/>
  <c r="H5" i="36"/>
  <c r="G6" i="36"/>
  <c r="H6" i="36"/>
  <c r="G21" i="36"/>
  <c r="H21" i="36"/>
  <c r="G8" i="36"/>
  <c r="H8" i="36"/>
  <c r="G24" i="36"/>
  <c r="H24" i="36"/>
  <c r="G3" i="36"/>
  <c r="H3" i="36"/>
  <c r="G25" i="36"/>
  <c r="H25" i="36"/>
  <c r="G19" i="36"/>
  <c r="H19" i="36"/>
  <c r="G13" i="36"/>
  <c r="H13" i="36"/>
  <c r="G4" i="36"/>
  <c r="H4" i="36"/>
  <c r="G14" i="36"/>
  <c r="H14" i="36"/>
  <c r="G15" i="36"/>
  <c r="H15" i="36"/>
  <c r="G18" i="36"/>
  <c r="H18" i="36"/>
  <c r="G11" i="36"/>
  <c r="H11" i="36"/>
  <c r="G22" i="36"/>
  <c r="H22" i="36"/>
  <c r="G7" i="36"/>
  <c r="H7" i="36"/>
  <c r="G9" i="36"/>
  <c r="H9" i="36"/>
  <c r="G2" i="36"/>
  <c r="H2" i="36"/>
  <c r="G20" i="36"/>
  <c r="H20" i="36"/>
  <c r="K438" i="1" l="1"/>
  <c r="J438" i="1"/>
  <c r="K437" i="1"/>
  <c r="J437" i="1"/>
  <c r="K426" i="1" l="1"/>
  <c r="J426" i="1"/>
  <c r="K368" i="1"/>
  <c r="J368" i="1"/>
  <c r="L435" i="1"/>
  <c r="N435" i="1" s="1"/>
  <c r="K435" i="1"/>
  <c r="J435" i="1"/>
  <c r="K434" i="1"/>
  <c r="J434" i="1"/>
  <c r="K433" i="1"/>
  <c r="J433" i="1"/>
  <c r="N432" i="1"/>
  <c r="K432" i="1"/>
  <c r="J432" i="1"/>
  <c r="J375" i="1"/>
  <c r="K375" i="1"/>
  <c r="K372" i="1"/>
  <c r="J372" i="1"/>
  <c r="L372" i="1"/>
  <c r="N372" i="1" s="1"/>
  <c r="J385" i="1"/>
  <c r="K383" i="1"/>
  <c r="J383" i="1"/>
  <c r="L384" i="1"/>
  <c r="N384" i="1" s="1"/>
  <c r="L383" i="1"/>
  <c r="N383" i="1" s="1"/>
  <c r="J371" i="1"/>
  <c r="J370" i="1"/>
  <c r="L433" i="1" l="1"/>
  <c r="K273" i="1"/>
  <c r="J273" i="1"/>
  <c r="L274" i="1"/>
  <c r="N274" i="1" s="1"/>
  <c r="N273" i="1"/>
  <c r="K428" i="1"/>
  <c r="K429" i="1"/>
  <c r="K430" i="1"/>
  <c r="J428" i="1"/>
  <c r="J429" i="1"/>
  <c r="J430" i="1"/>
  <c r="N427" i="1"/>
  <c r="K427" i="1"/>
  <c r="J427" i="1"/>
  <c r="K271" i="1"/>
  <c r="K272" i="1"/>
  <c r="K274" i="1"/>
  <c r="K379" i="1"/>
  <c r="J379" i="1"/>
  <c r="K391" i="1"/>
  <c r="J391" i="1"/>
  <c r="K419" i="1"/>
  <c r="K420" i="1"/>
  <c r="K421" i="1"/>
  <c r="K422" i="1"/>
  <c r="K423" i="1"/>
  <c r="K424" i="1"/>
  <c r="K425" i="1"/>
  <c r="J419" i="1"/>
  <c r="J420" i="1"/>
  <c r="J421" i="1"/>
  <c r="J422" i="1"/>
  <c r="J423" i="1"/>
  <c r="J424" i="1"/>
  <c r="J425" i="1"/>
  <c r="K378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22" i="1"/>
  <c r="K323" i="1"/>
  <c r="K324" i="1"/>
  <c r="K325" i="1"/>
  <c r="K326" i="1"/>
  <c r="K327" i="1"/>
  <c r="K328" i="1"/>
  <c r="K329" i="1"/>
  <c r="K330" i="1"/>
  <c r="K331" i="1"/>
  <c r="K415" i="1"/>
  <c r="K416" i="1"/>
  <c r="K417" i="1"/>
  <c r="K418" i="1"/>
  <c r="J416" i="1"/>
  <c r="J417" i="1"/>
  <c r="J418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363" i="1"/>
  <c r="K364" i="1"/>
  <c r="K365" i="1"/>
  <c r="K366" i="1"/>
  <c r="K373" i="1"/>
  <c r="K374" i="1"/>
  <c r="K376" i="1"/>
  <c r="K377" i="1"/>
  <c r="K380" i="1"/>
  <c r="K381" i="1"/>
  <c r="K382" i="1"/>
  <c r="K384" i="1"/>
  <c r="K385" i="1"/>
  <c r="K387" i="1"/>
  <c r="K388" i="1"/>
  <c r="K390" i="1"/>
  <c r="K392" i="1"/>
  <c r="K393" i="1"/>
  <c r="K394" i="1"/>
  <c r="K395" i="1"/>
  <c r="J376" i="1"/>
  <c r="J377" i="1"/>
  <c r="J378" i="1"/>
  <c r="J380" i="1"/>
  <c r="J381" i="1"/>
  <c r="J382" i="1"/>
  <c r="J384" i="1"/>
  <c r="J387" i="1"/>
  <c r="J388" i="1"/>
  <c r="J390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359" i="1"/>
  <c r="J360" i="1"/>
  <c r="J361" i="1"/>
  <c r="J362" i="1"/>
  <c r="J363" i="1"/>
  <c r="J364" i="1"/>
  <c r="J365" i="1"/>
  <c r="J366" i="1"/>
  <c r="J373" i="1"/>
  <c r="J374" i="1"/>
  <c r="K153" i="1"/>
  <c r="N153" i="1"/>
  <c r="L154" i="1"/>
  <c r="N154" i="1" s="1"/>
  <c r="J153" i="1"/>
  <c r="K51" i="1"/>
  <c r="J51" i="1"/>
  <c r="K48" i="1"/>
  <c r="J48" i="1"/>
  <c r="K277" i="1"/>
  <c r="J278" i="1"/>
  <c r="J277" i="1"/>
  <c r="J284" i="1"/>
  <c r="K279" i="1"/>
  <c r="J279" i="1"/>
  <c r="K350" i="1"/>
  <c r="K351" i="1"/>
  <c r="K352" i="1"/>
  <c r="K353" i="1"/>
  <c r="K355" i="1"/>
  <c r="K356" i="1"/>
  <c r="K357" i="1"/>
  <c r="K358" i="1"/>
  <c r="K359" i="1"/>
  <c r="K360" i="1"/>
  <c r="K361" i="1"/>
  <c r="K362" i="1"/>
  <c r="J350" i="1"/>
  <c r="J351" i="1"/>
  <c r="J352" i="1"/>
  <c r="J353" i="1"/>
  <c r="J355" i="1"/>
  <c r="J356" i="1"/>
  <c r="J357" i="1"/>
  <c r="J358" i="1"/>
  <c r="J340" i="1"/>
  <c r="J341" i="1"/>
  <c r="J342" i="1"/>
  <c r="J343" i="1"/>
  <c r="J344" i="1"/>
  <c r="J345" i="1"/>
  <c r="K346" i="1"/>
  <c r="K347" i="1"/>
  <c r="K348" i="1"/>
  <c r="K349" i="1"/>
  <c r="J331" i="1"/>
  <c r="J332" i="1"/>
  <c r="J333" i="1"/>
  <c r="J334" i="1"/>
  <c r="J335" i="1"/>
  <c r="J336" i="1"/>
  <c r="J337" i="1"/>
  <c r="J338" i="1"/>
  <c r="J339" i="1"/>
  <c r="J346" i="1"/>
  <c r="J347" i="1"/>
  <c r="J348" i="1"/>
  <c r="J349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K313" i="1"/>
  <c r="K314" i="1"/>
  <c r="K315" i="1"/>
  <c r="K316" i="1"/>
  <c r="K317" i="1"/>
  <c r="K318" i="1"/>
  <c r="K319" i="1"/>
  <c r="K320" i="1"/>
  <c r="K321" i="1"/>
  <c r="K306" i="1"/>
  <c r="K307" i="1"/>
  <c r="K308" i="1"/>
  <c r="K309" i="1"/>
  <c r="K310" i="1"/>
  <c r="K311" i="1"/>
  <c r="K312" i="1"/>
  <c r="J299" i="1"/>
  <c r="J300" i="1"/>
  <c r="J301" i="1"/>
  <c r="J302" i="1"/>
  <c r="J303" i="1"/>
  <c r="J304" i="1"/>
  <c r="J305" i="1"/>
  <c r="J306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63" i="1"/>
  <c r="K264" i="1"/>
  <c r="K265" i="1"/>
  <c r="K266" i="1"/>
  <c r="K267" i="1"/>
  <c r="K268" i="1"/>
  <c r="K269" i="1"/>
  <c r="K270" i="1"/>
  <c r="K275" i="1"/>
  <c r="K276" i="1"/>
  <c r="K278" i="1"/>
  <c r="J274" i="1"/>
  <c r="J275" i="1"/>
  <c r="J276" i="1"/>
  <c r="J280" i="1"/>
  <c r="J281" i="1"/>
  <c r="J282" i="1"/>
  <c r="J283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67" i="1"/>
  <c r="J263" i="1"/>
  <c r="J262" i="1"/>
  <c r="N256" i="1"/>
  <c r="N257" i="1"/>
  <c r="N269" i="1"/>
  <c r="N270" i="1"/>
  <c r="N271" i="1"/>
  <c r="N272" i="1"/>
  <c r="J256" i="1"/>
  <c r="J257" i="1"/>
  <c r="J258" i="1"/>
  <c r="J259" i="1"/>
  <c r="J264" i="1"/>
  <c r="J265" i="1"/>
  <c r="J266" i="1"/>
  <c r="J268" i="1"/>
  <c r="J269" i="1"/>
  <c r="J270" i="1"/>
  <c r="J271" i="1"/>
  <c r="J272" i="1"/>
  <c r="N255" i="1"/>
  <c r="J255" i="1"/>
  <c r="N95" i="1"/>
  <c r="K95" i="1"/>
  <c r="J95" i="1"/>
  <c r="K97" i="1"/>
  <c r="J97" i="1"/>
  <c r="N97" i="1"/>
  <c r="L252" i="1"/>
  <c r="N252" i="1" s="1"/>
  <c r="J252" i="1"/>
  <c r="N254" i="1"/>
  <c r="J254" i="1"/>
  <c r="J156" i="1"/>
  <c r="J154" i="1"/>
  <c r="J150" i="1"/>
  <c r="N253" i="1"/>
  <c r="N251" i="1"/>
  <c r="N250" i="1"/>
  <c r="J245" i="1"/>
  <c r="J246" i="1"/>
  <c r="J247" i="1"/>
  <c r="J248" i="1"/>
  <c r="J249" i="1"/>
  <c r="J250" i="1"/>
  <c r="J251" i="1"/>
  <c r="J253" i="1"/>
  <c r="N433" i="1" l="1"/>
  <c r="N249" i="1"/>
  <c r="N176" i="1"/>
  <c r="K176" i="1"/>
  <c r="J176" i="1"/>
  <c r="N222" i="1" l="1"/>
  <c r="K222" i="1"/>
  <c r="J222" i="1"/>
  <c r="N226" i="1"/>
  <c r="K226" i="1"/>
  <c r="J226" i="1"/>
  <c r="N221" i="1"/>
  <c r="K221" i="1"/>
  <c r="J221" i="1"/>
  <c r="N225" i="1"/>
  <c r="K225" i="1"/>
  <c r="J225" i="1"/>
  <c r="N134" i="1"/>
  <c r="K134" i="1"/>
  <c r="J134" i="1"/>
  <c r="K144" i="1"/>
  <c r="J144" i="1"/>
  <c r="N144" i="1"/>
  <c r="N139" i="1"/>
  <c r="K139" i="1"/>
  <c r="J139" i="1"/>
  <c r="N138" i="1"/>
  <c r="K138" i="1"/>
  <c r="J138" i="1"/>
  <c r="L45" i="1"/>
  <c r="N44" i="1"/>
  <c r="K44" i="1"/>
  <c r="J44" i="1"/>
  <c r="N142" i="1"/>
  <c r="K142" i="1"/>
  <c r="J142" i="1"/>
  <c r="N136" i="1"/>
  <c r="K136" i="1"/>
  <c r="J136" i="1"/>
  <c r="K159" i="1" l="1"/>
  <c r="J159" i="1"/>
  <c r="K179" i="1"/>
  <c r="J179" i="1"/>
  <c r="K2" i="1"/>
  <c r="J2" i="1"/>
  <c r="J18" i="1"/>
  <c r="J1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9" i="1"/>
  <c r="K40" i="1"/>
  <c r="K41" i="1"/>
  <c r="K42" i="1"/>
  <c r="K43" i="1"/>
  <c r="K45" i="1"/>
  <c r="K46" i="1"/>
  <c r="K47" i="1"/>
  <c r="K49" i="1"/>
  <c r="K50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6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3" i="1"/>
  <c r="K124" i="1"/>
  <c r="K125" i="1"/>
  <c r="K126" i="1"/>
  <c r="K127" i="1"/>
  <c r="K128" i="1"/>
  <c r="K129" i="1"/>
  <c r="K130" i="1"/>
  <c r="K131" i="1"/>
  <c r="K132" i="1"/>
  <c r="K133" i="1"/>
  <c r="K135" i="1"/>
  <c r="K137" i="1"/>
  <c r="K140" i="1"/>
  <c r="K141" i="1"/>
  <c r="K143" i="1"/>
  <c r="K145" i="1"/>
  <c r="K146" i="1"/>
  <c r="K147" i="1"/>
  <c r="K148" i="1"/>
  <c r="K149" i="1"/>
  <c r="K150" i="1"/>
  <c r="K151" i="1"/>
  <c r="K152" i="1"/>
  <c r="K154" i="1"/>
  <c r="K155" i="1"/>
  <c r="K156" i="1"/>
  <c r="K157" i="1"/>
  <c r="K158" i="1"/>
  <c r="K161" i="1"/>
  <c r="K162" i="1"/>
  <c r="K163" i="1"/>
  <c r="K164" i="1"/>
  <c r="K165" i="1"/>
  <c r="K166" i="1"/>
  <c r="K167" i="1"/>
  <c r="K168" i="1"/>
  <c r="K169" i="1"/>
  <c r="K170" i="1"/>
  <c r="K172" i="1"/>
  <c r="K173" i="1"/>
  <c r="K174" i="1"/>
  <c r="K175" i="1"/>
  <c r="K177" i="1"/>
  <c r="K178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3" i="1"/>
  <c r="K224" i="1"/>
  <c r="K227" i="1"/>
  <c r="K228" i="1"/>
  <c r="K229" i="1"/>
  <c r="K230" i="1"/>
  <c r="K231" i="1"/>
  <c r="K232" i="1"/>
  <c r="K233" i="1"/>
  <c r="K234" i="1"/>
  <c r="K235" i="1"/>
  <c r="K236" i="1"/>
  <c r="K237" i="1"/>
  <c r="J3" i="1"/>
  <c r="J4" i="1"/>
  <c r="J5" i="1"/>
  <c r="J6" i="1"/>
  <c r="J7" i="1"/>
  <c r="J8" i="1"/>
  <c r="J9" i="1"/>
  <c r="J10" i="1"/>
  <c r="J11" i="1"/>
  <c r="J13" i="1"/>
  <c r="J14" i="1"/>
  <c r="J15" i="1"/>
  <c r="J16" i="1"/>
  <c r="J17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5" i="1"/>
  <c r="J46" i="1"/>
  <c r="J47" i="1"/>
  <c r="J49" i="1"/>
  <c r="J50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6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3" i="1"/>
  <c r="J124" i="1"/>
  <c r="J125" i="1"/>
  <c r="J126" i="1"/>
  <c r="J127" i="1"/>
  <c r="J128" i="1"/>
  <c r="J129" i="1"/>
  <c r="J130" i="1"/>
  <c r="J131" i="1"/>
  <c r="J132" i="1"/>
  <c r="J133" i="1"/>
  <c r="J135" i="1"/>
  <c r="J137" i="1"/>
  <c r="J140" i="1"/>
  <c r="J141" i="1"/>
  <c r="J143" i="1"/>
  <c r="J145" i="1"/>
  <c r="J146" i="1"/>
  <c r="J147" i="1"/>
  <c r="J148" i="1"/>
  <c r="J149" i="1"/>
  <c r="J151" i="1"/>
  <c r="J152" i="1"/>
  <c r="J155" i="1"/>
  <c r="J157" i="1"/>
  <c r="J158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7" i="1"/>
  <c r="J178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3" i="1"/>
  <c r="J224" i="1"/>
  <c r="J227" i="1"/>
  <c r="J228" i="1"/>
  <c r="J229" i="1"/>
  <c r="J230" i="1"/>
  <c r="J231" i="1"/>
  <c r="J232" i="1"/>
  <c r="J233" i="1"/>
  <c r="J234" i="1"/>
  <c r="J235" i="1"/>
  <c r="J236" i="1"/>
  <c r="J237" i="1"/>
  <c r="J241" i="1"/>
  <c r="J242" i="1"/>
  <c r="J243" i="1"/>
  <c r="J244" i="1"/>
  <c r="N248" i="1" l="1"/>
  <c r="N247" i="1"/>
  <c r="N246" i="1"/>
  <c r="N245" i="1"/>
  <c r="N244" i="1"/>
  <c r="N243" i="1"/>
  <c r="N242" i="1"/>
  <c r="N241" i="1"/>
  <c r="N234" i="1" l="1"/>
  <c r="N237" i="1"/>
  <c r="N164" i="1"/>
  <c r="N163" i="1"/>
  <c r="L46" i="1"/>
  <c r="N45" i="1"/>
  <c r="N229" i="1" l="1"/>
  <c r="N228" i="1"/>
  <c r="N223" i="1"/>
  <c r="N220" i="1"/>
  <c r="N167" i="1" l="1"/>
  <c r="N207" i="1"/>
  <c r="N210" i="1"/>
  <c r="N216" i="1"/>
  <c r="N219" i="1"/>
  <c r="N224" i="1"/>
  <c r="N227" i="1"/>
  <c r="N230" i="1"/>
  <c r="N231" i="1"/>
  <c r="N232" i="1"/>
  <c r="N233" i="1"/>
  <c r="N235" i="1"/>
  <c r="N236" i="1"/>
  <c r="N169" i="1"/>
  <c r="N170" i="1"/>
  <c r="N171" i="1"/>
  <c r="N172" i="1"/>
  <c r="N173" i="1"/>
  <c r="N174" i="1"/>
  <c r="N175" i="1"/>
  <c r="N177" i="1"/>
  <c r="N178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161" i="1" l="1"/>
  <c r="N35" i="1" l="1"/>
  <c r="N12" i="1"/>
  <c r="N13" i="1"/>
  <c r="N14" i="1"/>
  <c r="N15" i="1"/>
  <c r="N16" i="1"/>
  <c r="N17" i="1"/>
  <c r="N18" i="1"/>
  <c r="N19" i="1"/>
  <c r="N9" i="1"/>
  <c r="N204" i="1" l="1"/>
  <c r="N90" i="1" l="1"/>
  <c r="N108" i="1"/>
  <c r="N168" i="1"/>
  <c r="N166" i="1"/>
  <c r="N165" i="1"/>
  <c r="N162" i="1"/>
  <c r="N158" i="1"/>
  <c r="N157" i="1"/>
  <c r="N156" i="1"/>
  <c r="N155" i="1"/>
  <c r="N152" i="1"/>
  <c r="N151" i="1"/>
  <c r="N150" i="1"/>
  <c r="N148" i="1"/>
  <c r="N147" i="1"/>
  <c r="N146" i="1"/>
  <c r="N145" i="1"/>
  <c r="N143" i="1"/>
  <c r="N141" i="1"/>
  <c r="N140" i="1"/>
  <c r="N137" i="1"/>
  <c r="N135" i="1"/>
  <c r="N133" i="1"/>
  <c r="N132" i="1"/>
  <c r="N131" i="1"/>
  <c r="N128" i="1"/>
  <c r="N125" i="1"/>
  <c r="N120" i="1"/>
  <c r="N117" i="1"/>
  <c r="N114" i="1"/>
  <c r="N102" i="1"/>
  <c r="N99" i="1"/>
  <c r="N98" i="1"/>
  <c r="N96" i="1"/>
  <c r="N94" i="1"/>
  <c r="N93" i="1"/>
  <c r="N92" i="1"/>
  <c r="N91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47" i="1"/>
  <c r="N46" i="1"/>
  <c r="N43" i="1"/>
  <c r="N42" i="1"/>
  <c r="N41" i="1"/>
  <c r="N40" i="1"/>
  <c r="N39" i="1"/>
  <c r="N38" i="1"/>
  <c r="N37" i="1"/>
  <c r="N36" i="1"/>
  <c r="N34" i="1"/>
  <c r="N33" i="1"/>
  <c r="N32" i="1"/>
  <c r="N31" i="1"/>
  <c r="N30" i="1"/>
  <c r="N29" i="1"/>
  <c r="N28" i="1"/>
  <c r="N26" i="1"/>
  <c r="N24" i="1"/>
  <c r="N23" i="1"/>
  <c r="N22" i="1"/>
  <c r="N21" i="1"/>
  <c r="N20" i="1"/>
  <c r="N11" i="1"/>
  <c r="N10" i="1"/>
  <c r="N8" i="1"/>
  <c r="N7" i="1"/>
  <c r="N5" i="1"/>
  <c r="N4" i="1"/>
  <c r="N3" i="1"/>
  <c r="N2" i="1"/>
  <c r="N6" i="1" l="1"/>
</calcChain>
</file>

<file path=xl/sharedStrings.xml><?xml version="1.0" encoding="utf-8"?>
<sst xmlns="http://schemas.openxmlformats.org/spreadsheetml/2006/main" count="5861" uniqueCount="579">
  <si>
    <t>DATA SOLICITAÇÃO</t>
  </si>
  <si>
    <t>CODIGO DA EMBALAGEM</t>
  </si>
  <si>
    <t>MODELO</t>
  </si>
  <si>
    <t>CODIGO DO PRODUTO</t>
  </si>
  <si>
    <t>PENDENTE</t>
  </si>
  <si>
    <t>NF</t>
  </si>
  <si>
    <t>PLACA</t>
  </si>
  <si>
    <t xml:space="preserve">BAHIA </t>
  </si>
  <si>
    <t>040125-0024-01</t>
  </si>
  <si>
    <t>CX DE EMBALAGEM INDIVIDUAL T2W</t>
  </si>
  <si>
    <t>5016-01</t>
  </si>
  <si>
    <t>040125-0023-01</t>
  </si>
  <si>
    <t>CX DE EMBALAGEM INDIVIDUAL T1W</t>
  </si>
  <si>
    <t>5116-01</t>
  </si>
  <si>
    <t>030625-0005-01</t>
  </si>
  <si>
    <t>030625-0006-01</t>
  </si>
  <si>
    <t>RÓTULO DE IDENTIF T2W</t>
  </si>
  <si>
    <t>8843-02</t>
  </si>
  <si>
    <t>5617-01</t>
  </si>
  <si>
    <t>5616-01</t>
  </si>
  <si>
    <t>5615-01</t>
  </si>
  <si>
    <t>5618-01</t>
  </si>
  <si>
    <t>5615-02</t>
  </si>
  <si>
    <t>9915-03</t>
  </si>
  <si>
    <t>4899-01</t>
  </si>
  <si>
    <t>5487-02</t>
  </si>
  <si>
    <t>5504-01</t>
  </si>
  <si>
    <t>2555-01</t>
  </si>
  <si>
    <t>5615-04</t>
  </si>
  <si>
    <t>040122-0010-02</t>
  </si>
  <si>
    <t>CX DE EMBALAGEM INDIVIDUAL ANDROID 43"</t>
  </si>
  <si>
    <t>040125-0009-01</t>
  </si>
  <si>
    <t>CX DE EMBALAGEM INDIVIDUAL CM-700</t>
  </si>
  <si>
    <t>CX DE EMBALAGEM INDIVIDUAL AWS-BBS-01-B</t>
  </si>
  <si>
    <t>040117-0002-01</t>
  </si>
  <si>
    <t>040125-0018-01</t>
  </si>
  <si>
    <t>CX DE EMBALAGEM INDIVIDUAL CM-150</t>
  </si>
  <si>
    <t>040122-0004-02</t>
  </si>
  <si>
    <t>CX DE EMBALAGEM INDIVIDUAL TV55" - TEMP</t>
  </si>
  <si>
    <t>CX DE EMBALAGEM INDIVIDUAL CM-550</t>
  </si>
  <si>
    <t>SOLICITANTE</t>
  </si>
  <si>
    <t>0645-01</t>
  </si>
  <si>
    <t>0685-03</t>
  </si>
  <si>
    <t>0685-04</t>
  </si>
  <si>
    <t>1705-01</t>
  </si>
  <si>
    <t>1705-02</t>
  </si>
  <si>
    <t>2108-01</t>
  </si>
  <si>
    <t>2108-02</t>
  </si>
  <si>
    <t>2108-03</t>
  </si>
  <si>
    <t>2555-03</t>
  </si>
  <si>
    <t>2555-05</t>
  </si>
  <si>
    <t>2955-01</t>
  </si>
  <si>
    <t>4487-01</t>
  </si>
  <si>
    <t>BOOMBOX AWS-BBS-01-GR BIVOLT</t>
  </si>
  <si>
    <t>4865-01</t>
  </si>
  <si>
    <t>DVD D-20 BIVOLT KARAOKE</t>
  </si>
  <si>
    <t>BOOMBOX AWS-BBS-01-B BIVOLT</t>
  </si>
  <si>
    <t>5015-01</t>
  </si>
  <si>
    <t>TORRE DE SOM AWS-T2W-01 BIVOLT BLUETOOTH</t>
  </si>
  <si>
    <t>TORRE DE SOM AWS-T2W-02 BIVOLT BLUETOOTH</t>
  </si>
  <si>
    <t>5115-01</t>
  </si>
  <si>
    <t>TORRE DE SOM AWS-T1W-01 BIVOLT BLUETOOTH</t>
  </si>
  <si>
    <t>TORRE DE SOM AWS-T1W-02 BIVOLT BLUETOOTH</t>
  </si>
  <si>
    <t>5141-03</t>
  </si>
  <si>
    <t>BOOMBOX BX-18 BIVOLT UP ORANGE</t>
  </si>
  <si>
    <t>5141-04</t>
  </si>
  <si>
    <t>5161-01</t>
  </si>
  <si>
    <t>BOOMBOX NBX-13 BIVOLT UP BLACK</t>
  </si>
  <si>
    <t>5243-02</t>
  </si>
  <si>
    <t>BOOMBOX BX-21ML BIVOLT .</t>
  </si>
  <si>
    <t>5487-01</t>
  </si>
  <si>
    <t>MICRO-ONDAS MO-01-21-B 127V/60HZ</t>
  </si>
  <si>
    <t>5615-03</t>
  </si>
  <si>
    <t>5616-02</t>
  </si>
  <si>
    <t>MICRO-ONDAS MO-01-21-W 220V/60HZ</t>
  </si>
  <si>
    <t>5616-03</t>
  </si>
  <si>
    <t>5617-02</t>
  </si>
  <si>
    <t>5617-03</t>
  </si>
  <si>
    <t>5617-04</t>
  </si>
  <si>
    <t>5618-02</t>
  </si>
  <si>
    <t>5618-03</t>
  </si>
  <si>
    <t>5618-04</t>
  </si>
  <si>
    <t>5619-01</t>
  </si>
  <si>
    <t>MICRO-ONDAS MO-01-21-E 127V/60HZ</t>
  </si>
  <si>
    <t>5774-01</t>
  </si>
  <si>
    <t>5787-01</t>
  </si>
  <si>
    <t>9531-01</t>
  </si>
  <si>
    <t>BOOMBOX C/ LUZES AWS-BBS-01-LBL BIVOLT</t>
  </si>
  <si>
    <t>9915-01</t>
  </si>
  <si>
    <t>9915-02</t>
  </si>
  <si>
    <t>8832-02</t>
  </si>
  <si>
    <t>TV 32 ANDROID BORD INF AWS-TV-32-BL-02-A</t>
  </si>
  <si>
    <t>TV 43 ANDROID BORD INF AWS-TV-43-BL-02-A</t>
  </si>
  <si>
    <t>8843-03</t>
  </si>
  <si>
    <t>TV 55 ANDROID AWS-TV-55-BL-01</t>
  </si>
  <si>
    <t>5504-02</t>
  </si>
  <si>
    <t>0685-01</t>
  </si>
  <si>
    <t>0685-02</t>
  </si>
  <si>
    <t>1455-01</t>
  </si>
  <si>
    <t>2555-04</t>
  </si>
  <si>
    <t>4860-01</t>
  </si>
  <si>
    <t>5141-02</t>
  </si>
  <si>
    <t>5241-01</t>
  </si>
  <si>
    <t>5241-02</t>
  </si>
  <si>
    <t>5243-01</t>
  </si>
  <si>
    <t>5595-01</t>
  </si>
  <si>
    <t>6010-01</t>
  </si>
  <si>
    <t>6014-01</t>
  </si>
  <si>
    <t>8323-03</t>
  </si>
  <si>
    <t>DVD D-15 BIVOLT KARAOKE USB</t>
  </si>
  <si>
    <t>BOOMBOX BX-19 BIVOLT UP DYNAMIC</t>
  </si>
  <si>
    <t>DVD D-14 BIVOLT GAME STAR II</t>
  </si>
  <si>
    <t>2010-60</t>
  </si>
  <si>
    <t>040125-0012-01</t>
  </si>
  <si>
    <t>2017-18</t>
  </si>
  <si>
    <t>040125-0002-02</t>
  </si>
  <si>
    <t>2019-90</t>
  </si>
  <si>
    <t>040117-0003-01</t>
  </si>
  <si>
    <t>2017-95</t>
  </si>
  <si>
    <t>040125-0017-01</t>
  </si>
  <si>
    <t>040117-0001-01</t>
  </si>
  <si>
    <t>2016-78</t>
  </si>
  <si>
    <t>2017-96</t>
  </si>
  <si>
    <t>040117-0005-01</t>
  </si>
  <si>
    <t>040125-0014-01</t>
  </si>
  <si>
    <t>040122-0009-02</t>
  </si>
  <si>
    <t>2019-93</t>
  </si>
  <si>
    <t>2016-12</t>
  </si>
  <si>
    <t>2019-77</t>
  </si>
  <si>
    <t>1116-33</t>
  </si>
  <si>
    <t>1114-51</t>
  </si>
  <si>
    <t>2019-23</t>
  </si>
  <si>
    <t>TV 50 SMART AWS-TV-50-BL-01</t>
  </si>
  <si>
    <t>TV 65 GOOGLE INF AWS-TV-65-BL-01-G</t>
  </si>
  <si>
    <t>TV 50 ANDROID BORD INF AWS-TV-50-BL-02-A</t>
  </si>
  <si>
    <t>BOOMBOX AWS-BBS-01-BG BIVOLT</t>
  </si>
  <si>
    <t>5003-01</t>
  </si>
  <si>
    <t>5022-01</t>
  </si>
  <si>
    <t>5026-01</t>
  </si>
  <si>
    <t>5026-02</t>
  </si>
  <si>
    <t>5782-01</t>
  </si>
  <si>
    <t>8832-01</t>
  </si>
  <si>
    <t>8843-01</t>
  </si>
  <si>
    <t>040323-0001-01</t>
  </si>
  <si>
    <t>040323-0003-01</t>
  </si>
  <si>
    <t>030623-0001-02</t>
  </si>
  <si>
    <t>RÓTULO DE IDENTIF BLACK 21L 450X250MM</t>
  </si>
  <si>
    <t>030623-0005-01</t>
  </si>
  <si>
    <t>RÓTULO DE IDENTIF BLACK 34L 530X285MM</t>
  </si>
  <si>
    <t>030623-0003-02</t>
  </si>
  <si>
    <t>RÓTULO DE IDENTIF MIRROR 34L 530X285MM</t>
  </si>
  <si>
    <t>030623-0008-01</t>
  </si>
  <si>
    <t>030623-0002-02</t>
  </si>
  <si>
    <t>030623-0004-01</t>
  </si>
  <si>
    <t>RÓTULO DE IDENTIF WHITE 34L 530X285MM</t>
  </si>
  <si>
    <t>040122-0003-01</t>
  </si>
  <si>
    <t>030623-0010-01</t>
  </si>
  <si>
    <t>DESTINO</t>
  </si>
  <si>
    <t>1114-42</t>
  </si>
  <si>
    <t>Total Geral</t>
  </si>
  <si>
    <t>2501-01</t>
  </si>
  <si>
    <t>040125-0028-01</t>
  </si>
  <si>
    <t>040117-0004-01</t>
  </si>
  <si>
    <t>040122-0011-02</t>
  </si>
  <si>
    <t>STATUS</t>
  </si>
  <si>
    <t>ENVIADO</t>
  </si>
  <si>
    <t>DESCRIÇAO DA EMBALAGEM</t>
  </si>
  <si>
    <t>MODELO DO PRODUTO</t>
  </si>
  <si>
    <t>CX DE EMBALAGEM INDIVIDUAL CM-250</t>
  </si>
  <si>
    <t>CX DE EMBALAGEM INDIVIDUAL AWS-BBS-01-GR</t>
  </si>
  <si>
    <t>EMBALAGEM INDIVIDUAL MCO-14</t>
  </si>
  <si>
    <t>EMBALAGEM INDIVIDUAL CM-500 ONDA B</t>
  </si>
  <si>
    <t>EMBALAGEM INDIVIDUAL DVD D-21</t>
  </si>
  <si>
    <t xml:space="preserve">EMBALAGEM IND DVD D-20 </t>
  </si>
  <si>
    <t>EMBALAGEM INDIVIDUAL BX-21 NV</t>
  </si>
  <si>
    <t>EMBALAGEM INDIVIDUAL DVD D-22</t>
  </si>
  <si>
    <t>EMBALAGEM INDIVIDUAL DVD D-15</t>
  </si>
  <si>
    <t xml:space="preserve">EMBALAGEM INDIVIDUAL BX-19 </t>
  </si>
  <si>
    <t>CAIXA EMBALAGEM INDIVIDUAL CM-16</t>
  </si>
  <si>
    <t>CAIXA EMBALAGEM INDIVIDUAL DVD D-14</t>
  </si>
  <si>
    <t>CAIXA EMBALAGEM INDIVIDUAL DVD D-18</t>
  </si>
  <si>
    <t>EMBALAGEM INDIVIDUAL CM-13</t>
  </si>
  <si>
    <t>CX DE EMBALAGEM INDIVIDUAL CM-400</t>
  </si>
  <si>
    <t>CX DE EMBALAGEM INDIVIDUAL AWS-BBS-01-LB</t>
  </si>
  <si>
    <t>CX DE EMBALAGEM INDIVIDUAL ANDROID 32</t>
  </si>
  <si>
    <t>CX DE EMBALAGEM INDIVIDUAL BX-18</t>
  </si>
  <si>
    <t>EMBALAGEM IND NBX-13 - REV.01</t>
  </si>
  <si>
    <t>CX DE EMBALAGEM INDIVIDUAL AWS-BBS-01-BG</t>
  </si>
  <si>
    <t>CX DE EMBALAGEM INDIVIDUAL TV50"</t>
  </si>
  <si>
    <t>CX DE EMBALAGEM INDIVIDUAL GOOGLE 65</t>
  </si>
  <si>
    <t xml:space="preserve">RÓTULO DE IDENTIF WHITE 21L </t>
  </si>
  <si>
    <t>RÓTULO DE IDENTIF MIRROR 21L 450X250MM</t>
  </si>
  <si>
    <t>CX DE EMBALAGEM INDIVIDUAL TM-2200</t>
  </si>
  <si>
    <t>CX DE EMBALAGEM COLETIVA CM-150</t>
  </si>
  <si>
    <t>040225-0003-01</t>
  </si>
  <si>
    <t>CX DE EMBALAGEM COLETIVA CM-250</t>
  </si>
  <si>
    <t>2017-73</t>
  </si>
  <si>
    <t>EMBALAGEM COLETIVA PARDA DVD ONDA C</t>
  </si>
  <si>
    <t xml:space="preserve">CALÇO DE EPS SUPERIOR 34L </t>
  </si>
  <si>
    <t>8999-01</t>
  </si>
  <si>
    <t>8998-01</t>
  </si>
  <si>
    <t xml:space="preserve">CALÇO DE EPS INFERIOR 34L </t>
  </si>
  <si>
    <t>030625-0009-01</t>
  </si>
  <si>
    <t>RÓTULO DE IDENTIF TM-2200</t>
  </si>
  <si>
    <t>CAIXA AMPLIFICADA CM-550-L BIVOLT .</t>
  </si>
  <si>
    <t>040125-0030-01</t>
  </si>
  <si>
    <t>CX DE EMBALAGEM INDIVIDUAL CM-550-L</t>
  </si>
  <si>
    <t>5122-01</t>
  </si>
  <si>
    <t>040122-0014-01</t>
  </si>
  <si>
    <t>CX DE EMBALAGEM INDIVIDUAL GOOGLE 75</t>
  </si>
  <si>
    <t>2017-71</t>
  </si>
  <si>
    <t>CAIXA EMBALAGEM COLETIVA BX-18</t>
  </si>
  <si>
    <t>CAIXA EMBALAGEM COLETIVA DVD D-14</t>
  </si>
  <si>
    <t>BBS LBL</t>
  </si>
  <si>
    <t>BBS GR</t>
  </si>
  <si>
    <t>BBS BG</t>
  </si>
  <si>
    <t>ENTREGA (COMPRAS)</t>
  </si>
  <si>
    <t>Comentário</t>
  </si>
  <si>
    <t>T2W</t>
  </si>
  <si>
    <t>040225-0002-02</t>
  </si>
  <si>
    <t>TV 75 GOOGLE BORD INF AWS</t>
  </si>
  <si>
    <t>8054-01</t>
  </si>
  <si>
    <t>5619-02</t>
  </si>
  <si>
    <t>5616-04</t>
  </si>
  <si>
    <t>5774-02</t>
  </si>
  <si>
    <t>8055-01</t>
  </si>
  <si>
    <t>2401-01</t>
  </si>
  <si>
    <t>TORRE DE SOM TM-1200 BIV</t>
  </si>
  <si>
    <t>TORRE DE SOM TM2200 BIV</t>
  </si>
  <si>
    <t>040125-0029-01</t>
  </si>
  <si>
    <t>CX DE EMBALAGEM INDIVIDUAL CM-400-L</t>
  </si>
  <si>
    <t>040125-0007-01</t>
  </si>
  <si>
    <t>TIPO</t>
  </si>
  <si>
    <t>INSUMO</t>
  </si>
  <si>
    <t>5161-02</t>
  </si>
  <si>
    <t>040122-0017-01</t>
  </si>
  <si>
    <t>040122-0018-01</t>
  </si>
  <si>
    <t>CALÇO DE EPS INFERIOR 21L 480X385X150MM</t>
  </si>
  <si>
    <t>CALÇO DE EPS SUPERIOR 21L 480X385X150MM</t>
  </si>
  <si>
    <t>030623-0009-01</t>
  </si>
  <si>
    <t xml:space="preserve">VANESSA </t>
  </si>
  <si>
    <t xml:space="preserve">EMBALAGEM </t>
  </si>
  <si>
    <t>CM 13</t>
  </si>
  <si>
    <t>6840-02</t>
  </si>
  <si>
    <t>CM 14</t>
  </si>
  <si>
    <t>CM 16</t>
  </si>
  <si>
    <t>CM 250</t>
  </si>
  <si>
    <t>CM 400</t>
  </si>
  <si>
    <t>CM 500</t>
  </si>
  <si>
    <t>CM 550</t>
  </si>
  <si>
    <t>CONDENSADOR AWS-C-18F 220V</t>
  </si>
  <si>
    <t>6305-02</t>
  </si>
  <si>
    <t>ARCON</t>
  </si>
  <si>
    <t>EVAPORADOR AWS-EV-18F 220V</t>
  </si>
  <si>
    <t>6316-02</t>
  </si>
  <si>
    <t>MICRO-ONDAS MO-01-21-E 220V/60HZ</t>
  </si>
  <si>
    <t>7754-01</t>
  </si>
  <si>
    <t>TABLET TB-14 BIVOLT</t>
  </si>
  <si>
    <t>TABLET</t>
  </si>
  <si>
    <t>8821-01</t>
  </si>
  <si>
    <t>TABLET TB-18 BIVOLT KIDS</t>
  </si>
  <si>
    <t>8814-01</t>
  </si>
  <si>
    <t>T1W</t>
  </si>
  <si>
    <t>TM1200</t>
  </si>
  <si>
    <t>TM2200</t>
  </si>
  <si>
    <t>TV 65</t>
  </si>
  <si>
    <t>TV 75</t>
  </si>
  <si>
    <t>CONDENSADOR AWS-C-9F 220V</t>
  </si>
  <si>
    <t>6301-02</t>
  </si>
  <si>
    <t>CONDENSADOR AWS-C-9QF 220V</t>
  </si>
  <si>
    <t>6302-02</t>
  </si>
  <si>
    <t>6303-02</t>
  </si>
  <si>
    <t>CONDENSADOR AWS-C-12F 220V</t>
  </si>
  <si>
    <t>CONDENSADOR AWS-C-12QF 220V</t>
  </si>
  <si>
    <t>6304-02</t>
  </si>
  <si>
    <t>CONDENSADOR AWS-C-24F 220V</t>
  </si>
  <si>
    <t>6307-02</t>
  </si>
  <si>
    <t>EVAPORADOR AWS-EV-9F 220V</t>
  </si>
  <si>
    <t>6312-02</t>
  </si>
  <si>
    <t>EVAPORADOR AWS-EV-9QF 220V</t>
  </si>
  <si>
    <t>6313-02</t>
  </si>
  <si>
    <t>EVAPORADOR AWS-EV-12F 220V</t>
  </si>
  <si>
    <t>6314-02</t>
  </si>
  <si>
    <t>EVAPORADOR AWS-EV-12QF 220V</t>
  </si>
  <si>
    <t>6315-02</t>
  </si>
  <si>
    <t>EVAPORADOR AWS-EV-24F 220V</t>
  </si>
  <si>
    <t>6318-02</t>
  </si>
  <si>
    <t>TAIMON</t>
  </si>
  <si>
    <t xml:space="preserve">SOLICITAÇÃO </t>
  </si>
  <si>
    <t>CAIXA AMPLIFICADA CM-400-PL BIVOLT</t>
  </si>
  <si>
    <t>CAIXA AMPLIFICADA CM-500 BIVOLT.</t>
  </si>
  <si>
    <t>CAIXA AMPLIFICADA CM-550 BIVOLT .</t>
  </si>
  <si>
    <t>CAIXA AMPLIFICADA CM-700 BIVOLT .</t>
  </si>
  <si>
    <t>MICRO-ONDAS MO-01-21-B 220V/60HZ .</t>
  </si>
  <si>
    <t>MICRO-ONDAS MO-01-21-W 127V/60HZ .</t>
  </si>
  <si>
    <t>MICRO-ONDAS MO-02-34-B 127V/60HZ .</t>
  </si>
  <si>
    <t>MICRO-ONDAS MO-02-34-B 220V/60HZ .</t>
  </si>
  <si>
    <t>MICRO-ONDAS MO-02-34-E 127V/60HZ .</t>
  </si>
  <si>
    <t>MICRO-ONDAS MO-02-34-E 220V/60HZ .</t>
  </si>
  <si>
    <t>MICRO-ONDAS MO-02-34-W 220V/60HZ .</t>
  </si>
  <si>
    <t>LXK8F00</t>
  </si>
  <si>
    <t>2019-75</t>
  </si>
  <si>
    <t>2016-52</t>
  </si>
  <si>
    <t>040125-0010-01</t>
  </si>
  <si>
    <t>2017-22</t>
  </si>
  <si>
    <t>040125-0004-01</t>
  </si>
  <si>
    <t>2017-70</t>
  </si>
  <si>
    <t>1116-32</t>
  </si>
  <si>
    <t>1116-38</t>
  </si>
  <si>
    <t>2019-72</t>
  </si>
  <si>
    <t>2019-69</t>
  </si>
  <si>
    <t>030623-0006-01</t>
  </si>
  <si>
    <t>030623-0007-01</t>
  </si>
  <si>
    <t>1117-57</t>
  </si>
  <si>
    <t>1116-59</t>
  </si>
  <si>
    <t>1118-01</t>
  </si>
  <si>
    <t>040125-0027-01</t>
  </si>
  <si>
    <t>040122-0015-01</t>
  </si>
  <si>
    <t>040122-0013-01</t>
  </si>
  <si>
    <t>CAIXA DE EMBALAGEM INDIVIDUAL CM-14</t>
  </si>
  <si>
    <t>EMBALAGEM INDIVIDUAL CM-400 AMPLA</t>
  </si>
  <si>
    <t>EMBALAGEM IND PARDA CM500 - ONDA BC</t>
  </si>
  <si>
    <t>EMBALAGEM COL PARDA MCO-14 ONDA C</t>
  </si>
  <si>
    <t>EMBALAGEM COLETIVA DVD D-15</t>
  </si>
  <si>
    <t>CAIXA EMBALAGEM COLETIVA DVD</t>
  </si>
  <si>
    <t>RÓTULO DE IDENTIF WHITE 21L 450X250MM</t>
  </si>
  <si>
    <t>CAIXA DE EMBALAGEM INDIVIDUAL NTB-12G</t>
  </si>
  <si>
    <t>CAIXA EMBALAGEM INDIVIDUAL TB-14</t>
  </si>
  <si>
    <t>CAIXA EMBALAGEM INDIVIDUAL TB-18</t>
  </si>
  <si>
    <t>CX DE EMBALAGEM INDIVIDUAL TM-1200</t>
  </si>
  <si>
    <t>040122-0016-01</t>
  </si>
  <si>
    <t>040225-0004-01</t>
  </si>
  <si>
    <t>030625-0008-01</t>
  </si>
  <si>
    <t>RÓTULO DE IDENTIF TM-1200</t>
  </si>
  <si>
    <t>CX DE EMBALAGEM COLETIVA CM-400-L</t>
  </si>
  <si>
    <t>CM 550L</t>
  </si>
  <si>
    <t>NVK1H36</t>
  </si>
  <si>
    <t>MNK6A35</t>
  </si>
  <si>
    <t xml:space="preserve">MARCELA </t>
  </si>
  <si>
    <t xml:space="preserve">JTD TRANSPORTES </t>
  </si>
  <si>
    <t>CM150</t>
  </si>
  <si>
    <t>JXA2303</t>
  </si>
  <si>
    <t>BBS PRETO</t>
  </si>
  <si>
    <t>BX 18</t>
  </si>
  <si>
    <t>CM 700</t>
  </si>
  <si>
    <t>BX 13</t>
  </si>
  <si>
    <t>7041-01</t>
  </si>
  <si>
    <t>CM300N</t>
  </si>
  <si>
    <t>80075-01</t>
  </si>
  <si>
    <t>7044-01</t>
  </si>
  <si>
    <t>CM650N</t>
  </si>
  <si>
    <t>7045-01</t>
  </si>
  <si>
    <t>CM1000N</t>
  </si>
  <si>
    <t>MO 21L</t>
  </si>
  <si>
    <t>80034-02</t>
  </si>
  <si>
    <t>80037-02</t>
  </si>
  <si>
    <t>MO 34L</t>
  </si>
  <si>
    <t>80033-02</t>
  </si>
  <si>
    <t>80036-02</t>
  </si>
  <si>
    <t>80035-02</t>
  </si>
  <si>
    <t>6324-02</t>
  </si>
  <si>
    <t>AR CONDICIONADO AWS-AC-9F 220V</t>
  </si>
  <si>
    <t>6325-02</t>
  </si>
  <si>
    <t>AR CONDICIONADO AWS-AC-9QF 220V</t>
  </si>
  <si>
    <t>6326-02</t>
  </si>
  <si>
    <t>AR CONDICIONADO AWS-AC-12F 220V</t>
  </si>
  <si>
    <t>6327-02</t>
  </si>
  <si>
    <t>AR CONDICIONADO AWS-AC-12QF 220V</t>
  </si>
  <si>
    <t>6328-02</t>
  </si>
  <si>
    <t>AR CONDICIONADO AWS-AC-18F 220V</t>
  </si>
  <si>
    <t>6329-02</t>
  </si>
  <si>
    <t>AR CONDICIONADO AWS-AC-18QF 220V</t>
  </si>
  <si>
    <t>6306-02</t>
  </si>
  <si>
    <t>CONDENSADOR AWS-C-18QF 220V</t>
  </si>
  <si>
    <t>6317-02</t>
  </si>
  <si>
    <t>EVAPORADOR AWS-EV-18QF 220V</t>
  </si>
  <si>
    <t>6331-02</t>
  </si>
  <si>
    <t>AR CONDICIONADO AWS-AC-24F 220V</t>
  </si>
  <si>
    <t>6332-02</t>
  </si>
  <si>
    <t>AR CONDICIONADO AWS-AC-24QF 220V</t>
  </si>
  <si>
    <t>6308-02</t>
  </si>
  <si>
    <t>CONDENSADOR AWS-C-24QF 220V</t>
  </si>
  <si>
    <t>6319-02</t>
  </si>
  <si>
    <t>EVAPORADOR AWS-EV-24QF 220V</t>
  </si>
  <si>
    <t>6333-02</t>
  </si>
  <si>
    <t>AR CONDICIONADO AWS-AC-30F 220V</t>
  </si>
  <si>
    <t>6309-02</t>
  </si>
  <si>
    <t>CONDENSADOR AWS-C-30F 220V</t>
  </si>
  <si>
    <t>6321-02</t>
  </si>
  <si>
    <t>EVAPORADOR AWS-EV-30F 220V</t>
  </si>
  <si>
    <t>6334-02</t>
  </si>
  <si>
    <t>AR CONDICIONADO AWS-AC-30QF 220V</t>
  </si>
  <si>
    <t>6311-02</t>
  </si>
  <si>
    <t>CONDENSADOR AWS-C-30QF 220V</t>
  </si>
  <si>
    <t>6323-02</t>
  </si>
  <si>
    <t>EVAPORADOR AWS-EV-30QF 220V</t>
  </si>
  <si>
    <t>6336-02</t>
  </si>
  <si>
    <t>AR CONDICIONADO AWS-AC-9F-EU</t>
  </si>
  <si>
    <t>ARCON EU</t>
  </si>
  <si>
    <t>6337-02</t>
  </si>
  <si>
    <t>AR CONDICIONADO AWS-AC-9QF-EU</t>
  </si>
  <si>
    <t>6338-02</t>
  </si>
  <si>
    <t>AR CONDICIONADO AWS AC 12F -EU</t>
  </si>
  <si>
    <t>6339-02</t>
  </si>
  <si>
    <t>AR CONDICIONADO AWS AC 12 QF -EU</t>
  </si>
  <si>
    <t>6341-02</t>
  </si>
  <si>
    <t>AR-CONDICIONADO AWS-AC-18F-EU</t>
  </si>
  <si>
    <t>6342-02</t>
  </si>
  <si>
    <t>AR-CONDICIONADO AWS-AC-18QF-EU</t>
  </si>
  <si>
    <t>BX 19</t>
  </si>
  <si>
    <t>CAIXA AMPLIFICADA CM-13 BIVOLT .</t>
  </si>
  <si>
    <t>CAIXA AMPLIFICADA CM-14 BIVOLT .</t>
  </si>
  <si>
    <t>CAIXA AMPLIFICADA CM-16 BIVOLT .</t>
  </si>
  <si>
    <t>CAIXA AMPLIFICADA CM-250 BIVOLT .</t>
  </si>
  <si>
    <t>CAIXA AMPLIFICADA CM-400 BIVOLT .</t>
  </si>
  <si>
    <t>CAIXA AMPLIFICADA CM-500 BIVOLT .</t>
  </si>
  <si>
    <t>CAIXA AMPLIFICADA MCO-14 BIVOLT .</t>
  </si>
  <si>
    <t>DVD D-18 BIVOLT .</t>
  </si>
  <si>
    <t>DVD D-21 BIVOLT .</t>
  </si>
  <si>
    <t>DVD D-22 BIVOLT .</t>
  </si>
  <si>
    <t>BX 21</t>
  </si>
  <si>
    <t>MCO 14</t>
  </si>
  <si>
    <t>MICRO-ONDAS MO-02-34-W 127V/60HZ .</t>
  </si>
  <si>
    <t>TABLET NTB-12G BIVOLT .</t>
  </si>
  <si>
    <t>CM 400L</t>
  </si>
  <si>
    <t>TV 50 SMART</t>
  </si>
  <si>
    <t>TV 50 ANDROID</t>
  </si>
  <si>
    <t>DESCRIÇÃO</t>
  </si>
  <si>
    <t>CODIGO</t>
  </si>
  <si>
    <t>CM 400 PL</t>
  </si>
  <si>
    <t>TV 43 ANDROID</t>
  </si>
  <si>
    <t>DVD</t>
  </si>
  <si>
    <t>TV 55 ANDROID</t>
  </si>
  <si>
    <t>TV 32 ANDROID</t>
  </si>
  <si>
    <t>CAIXA AMPLIFICADA CM-150 BIVOLT .</t>
  </si>
  <si>
    <t>CAIXA AMPLIFICADA CM-300-N BIV.</t>
  </si>
  <si>
    <t>CAIXA AMPLIFICADA CM-650-N BIV.</t>
  </si>
  <si>
    <t>CAIXA AMPLIFICADA CM-1000-N BIV.</t>
  </si>
  <si>
    <t>CAIXA AMP. CM-400 220V-50/60Hz MK ARG</t>
  </si>
  <si>
    <t>CAIXA AMPLIFICADA CM-400-L BIVOLT .</t>
  </si>
  <si>
    <t>MICRO-ONDAS MO-02-34-E 220V~50HZ AR COTO</t>
  </si>
  <si>
    <t>MICRO-ONDAS MO-01-21-W 220V~50HZ AR COTO</t>
  </si>
  <si>
    <t>MICRO-ONDAS MO-02-34-B 220V~50HZ AR COTO</t>
  </si>
  <si>
    <t>MICRO-ONDAS MO-02-34-W 220V~50HZ AR COTO</t>
  </si>
  <si>
    <t>MICRO-ONDAS MO-01-21-B 220V~50HZ AR COTO</t>
  </si>
  <si>
    <t>MICRO-ONDAS MO-01-21-B 220V/50HZ AR</t>
  </si>
  <si>
    <t>MICRO-ONDAS MO-02-34-E 220V/50HZ AR</t>
  </si>
  <si>
    <t>PREVISÃO DE ENTREGA</t>
  </si>
  <si>
    <t>ENVIO (EXPEDIÇÃO)</t>
  </si>
  <si>
    <t>030625-0001-01</t>
  </si>
  <si>
    <t>ROTULO DE IDENTIFICAÇAO T1W</t>
  </si>
  <si>
    <t>RÓTULO DE IDENTIF CM-700</t>
  </si>
  <si>
    <t>JXA5313</t>
  </si>
  <si>
    <t>JWN9768</t>
  </si>
  <si>
    <t>DJF1135</t>
  </si>
  <si>
    <t>FINALIZADO</t>
  </si>
  <si>
    <t xml:space="preserve">MARCIO </t>
  </si>
  <si>
    <t>CAJAMAR</t>
  </si>
  <si>
    <t>040722-0001-01</t>
  </si>
  <si>
    <t>FITA PARA EMBALAGEM - AIWA</t>
  </si>
  <si>
    <t>JAQUELINE</t>
  </si>
  <si>
    <t>PENDENTE.</t>
  </si>
  <si>
    <t>CX DE EMBALAGEM INDIVIDUAL ANDROID 50</t>
  </si>
  <si>
    <t>JXU2478</t>
  </si>
  <si>
    <t>JXB0662</t>
  </si>
  <si>
    <t>HERISON</t>
  </si>
  <si>
    <t>4302-01</t>
  </si>
  <si>
    <t xml:space="preserve">TV 43 BL </t>
  </si>
  <si>
    <t>TV 43 SMART AWS-TV-43-BL-01</t>
  </si>
  <si>
    <t>7040-01</t>
  </si>
  <si>
    <t>CAIXA AMPLIFICADA CM-220-N BIV.</t>
  </si>
  <si>
    <t>CM 220 N</t>
  </si>
  <si>
    <t>TBC</t>
  </si>
  <si>
    <t>JXB1402</t>
  </si>
  <si>
    <t>BYE7A94</t>
  </si>
  <si>
    <t>JWT0050</t>
  </si>
  <si>
    <t>JOYCE</t>
  </si>
  <si>
    <t>BYE6A94</t>
  </si>
  <si>
    <t>TIPO DE EMBALAGEM</t>
  </si>
  <si>
    <t>CAIXA INDIVIDUAL</t>
  </si>
  <si>
    <t>CAIXA COLETIVA</t>
  </si>
  <si>
    <t>ROTULO</t>
  </si>
  <si>
    <t>CALÇO</t>
  </si>
  <si>
    <t>LACRE</t>
  </si>
  <si>
    <t>SOLICITADO</t>
  </si>
  <si>
    <t>Soma de SOLICITADO</t>
  </si>
  <si>
    <t>SOLICITADO.</t>
  </si>
  <si>
    <t>ENVIADO.</t>
  </si>
  <si>
    <t>JXA4382</t>
  </si>
  <si>
    <t>020317-0002-01</t>
  </si>
  <si>
    <t>ETQ LACRE DA EMBALAGEM TRANSP AWS-BBS-01</t>
  </si>
  <si>
    <t>QZD4B87</t>
  </si>
  <si>
    <t>CM400</t>
  </si>
  <si>
    <t>(Tudo)</t>
  </si>
  <si>
    <t>040122-0002-01</t>
  </si>
  <si>
    <t>CX DE EMBALAGEM INDIVIDUAL TV43"</t>
  </si>
  <si>
    <t>040125-0037-01</t>
  </si>
  <si>
    <t>CX DE EMBALAGEM INDIVIDUAL CM-220-N</t>
  </si>
  <si>
    <t>CX DE EMBALAGEM COLETIVA CM-150/CM-220-N</t>
  </si>
  <si>
    <t>040125-0038-02</t>
  </si>
  <si>
    <t>CX DE EMBALAGEM INDIVIDUAL CM-300-N</t>
  </si>
  <si>
    <t>040125-0040-01</t>
  </si>
  <si>
    <t>CX DE EMBALAGEM INDIVIDUAL CM-650-N</t>
  </si>
  <si>
    <t>040125-0041-02</t>
  </si>
  <si>
    <t>CX DE EMBALAGEM INDIVIDUAL CM-1000-N</t>
  </si>
  <si>
    <t>ANDAMENTO</t>
  </si>
  <si>
    <t>INATIVO</t>
  </si>
  <si>
    <t>ANDERSON</t>
  </si>
  <si>
    <t>PALETIZAÇAO PADRAO ALMOXARIFADO</t>
  </si>
  <si>
    <t>040117-0002-02</t>
  </si>
  <si>
    <t>040323-0005-01</t>
  </si>
  <si>
    <t>040323-0006-01</t>
  </si>
  <si>
    <t>NF 02</t>
  </si>
  <si>
    <t>NF 01</t>
  </si>
  <si>
    <t>NF 03</t>
  </si>
  <si>
    <t>NF 04</t>
  </si>
  <si>
    <t>JXU2118</t>
  </si>
  <si>
    <t>JXI1785</t>
  </si>
  <si>
    <t>JMF3A55</t>
  </si>
  <si>
    <t>JWF8303</t>
  </si>
  <si>
    <t>Rótulos de Coluna</t>
  </si>
  <si>
    <t>(vazio)</t>
  </si>
  <si>
    <t>SOLICITAÇÃO</t>
  </si>
  <si>
    <t>NF 05</t>
  </si>
  <si>
    <t>NF 06</t>
  </si>
  <si>
    <t>040125-0038-01</t>
  </si>
  <si>
    <t>040125-0029-02</t>
  </si>
  <si>
    <t>7043-01</t>
  </si>
  <si>
    <t>CAIXA AMPLIFICADA CM-500-N BIV.</t>
  </si>
  <si>
    <t>CM 500N</t>
  </si>
  <si>
    <t>VANESSA/ CD</t>
  </si>
  <si>
    <t>JXA5412</t>
  </si>
  <si>
    <t>NF 07</t>
  </si>
  <si>
    <t>NF 08</t>
  </si>
  <si>
    <t>NF 09</t>
  </si>
  <si>
    <t>040125-0039-01</t>
  </si>
  <si>
    <t>CX DE EMBALAGEM INDIVIDUAL CM-500-N</t>
  </si>
  <si>
    <t>Reserva M220- Verificando com almoxarifado se possui paletes com quebra</t>
  </si>
  <si>
    <t>(vazio) Total</t>
  </si>
  <si>
    <t>NF 10</t>
  </si>
  <si>
    <t>NF 11</t>
  </si>
  <si>
    <t>29/07/2026 Total</t>
  </si>
  <si>
    <t>30/07/2026 Total</t>
  </si>
  <si>
    <t>18/08/2026 Total</t>
  </si>
  <si>
    <t>24/08/2026 Total</t>
  </si>
  <si>
    <t>28/08/2026 Total</t>
  </si>
  <si>
    <t>DATA COMPRAS</t>
  </si>
  <si>
    <t>QUANTIDADE SOLICITADA</t>
  </si>
  <si>
    <t xml:space="preserve">Fazer reserva </t>
  </si>
  <si>
    <t>Solicitar compra por e-mail</t>
  </si>
  <si>
    <t>21/09/2026 Total</t>
  </si>
  <si>
    <t>19/08/2026 Total</t>
  </si>
  <si>
    <t>Entrega direto na expedição</t>
  </si>
  <si>
    <t>31/08/2026 Total</t>
  </si>
  <si>
    <t>Joao, em pedido</t>
  </si>
  <si>
    <t>040125-0040-02</t>
  </si>
  <si>
    <t>Verificar com Joao antes de fazer reserva</t>
  </si>
  <si>
    <t>Sem saldo, não pode usar o modelo atual; Fazer pedido por e-mail</t>
  </si>
  <si>
    <t>Trazer supplog-Solicitado</t>
  </si>
  <si>
    <t>BSF6536</t>
  </si>
  <si>
    <t>NF 12</t>
  </si>
  <si>
    <t>NF 13</t>
  </si>
  <si>
    <t>27/08/2026 Total</t>
  </si>
  <si>
    <t>10/09/2026 Total</t>
  </si>
  <si>
    <t>TBC Total</t>
  </si>
  <si>
    <t>25/02/2026 Total</t>
  </si>
  <si>
    <t>10/03/2026 Total</t>
  </si>
  <si>
    <t>19/03/2026 Total</t>
  </si>
  <si>
    <t>14/04/2026 Total</t>
  </si>
  <si>
    <t>15/04/2026 Total</t>
  </si>
  <si>
    <t>17/04/2026 Total</t>
  </si>
  <si>
    <t>27/04/2026 Total</t>
  </si>
  <si>
    <t>11/05/2026 Total</t>
  </si>
  <si>
    <t>25/05/2026 Total</t>
  </si>
  <si>
    <t>15/06/2026 Total</t>
  </si>
  <si>
    <t>25/06/2026 Total</t>
  </si>
  <si>
    <t>08/07/2026 Total</t>
  </si>
  <si>
    <t>06/08/2026 Total</t>
  </si>
  <si>
    <t>07/08/2026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</si>
</sst>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6" formatCode="General_)"/>
    <numFmt numFmtId="167" formatCode="###"/>
    <numFmt numFmtId="168" formatCode="#;[Red]\-#"/>
    <numFmt numFmtId="169" formatCode="#,##0_ ;[Red]\-#,##0\ "/>
    <numFmt numFmtId="170" formatCode="#,##0_ ;\-#,##0\ "/>
  </numFmts>
  <fonts count="2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color theme="1"/>
      <name val="Aptos"/>
      <family val="2"/>
    </font>
    <font>
      <sz val="10"/>
      <name val="Arial"/>
      <family val="2"/>
    </font>
    <font>
      <b/>
      <sz val="12"/>
      <color theme="1"/>
      <name val="Aptos"/>
      <family val="2"/>
    </font>
    <font>
      <sz val="11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sz val="12"/>
      <name val="Courier"/>
      <family val="3"/>
    </font>
    <font>
      <b/>
      <sz val="16"/>
      <name val="Arial"/>
      <family val="2"/>
    </font>
    <font>
      <sz val="12"/>
      <name val="Courier"/>
    </font>
    <font>
      <sz val="11"/>
      <color rgb="FFFF0000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6" fillId="0" borderId="0"/>
    <xf numFmtId="43" fontId="9" fillId="0" borderId="0" applyFont="0" applyFill="0" applyBorder="0" applyAlignment="0" applyProtection="0"/>
    <xf numFmtId="0" fontId="10" fillId="0" borderId="0"/>
    <xf numFmtId="0" fontId="15" fillId="0" borderId="0"/>
    <xf numFmtId="166" fontId="16" fillId="0" borderId="0"/>
    <xf numFmtId="0" fontId="18" fillId="0" borderId="0"/>
    <xf numFmtId="0" fontId="4" fillId="0" borderId="0"/>
    <xf numFmtId="43" fontId="9" fillId="0" borderId="0" applyFont="0" applyFill="0" applyBorder="0" applyAlignment="0" applyProtection="0"/>
    <xf numFmtId="0" fontId="4" fillId="0" borderId="0"/>
    <xf numFmtId="0" fontId="4" fillId="0" borderId="0"/>
  </cellStyleXfs>
  <cellXfs count="64"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3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2" fillId="5" borderId="1" xfId="0" applyFont="1" applyFill="1" applyBorder="1" applyAlignment="1">
      <alignment horizontal="center" wrapText="1"/>
    </xf>
    <xf numFmtId="167" fontId="17" fillId="6" borderId="1" xfId="6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0" fontId="12" fillId="2" borderId="2" xfId="0" applyFont="1" applyFill="1" applyBorder="1" applyAlignment="1">
      <alignment horizontal="center" wrapText="1"/>
    </xf>
    <xf numFmtId="164" fontId="13" fillId="0" borderId="0" xfId="3" applyNumberFormat="1" applyFont="1" applyFill="1" applyBorder="1" applyAlignment="1">
      <alignment horizontal="center" wrapText="1"/>
    </xf>
    <xf numFmtId="0" fontId="0" fillId="0" borderId="1" xfId="0" pivotButton="1" applyBorder="1"/>
    <xf numFmtId="0" fontId="7" fillId="0" borderId="0" xfId="0" applyFont="1" applyAlignment="1">
      <alignment horizontal="center"/>
    </xf>
    <xf numFmtId="14" fontId="13" fillId="0" borderId="0" xfId="0" applyNumberFormat="1" applyFont="1" applyAlignment="1">
      <alignment horizontal="center" wrapText="1"/>
    </xf>
    <xf numFmtId="0" fontId="19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167" fontId="20" fillId="3" borderId="1" xfId="6" applyNumberFormat="1" applyFont="1" applyFill="1" applyBorder="1" applyAlignment="1">
      <alignment horizontal="left"/>
    </xf>
    <xf numFmtId="167" fontId="20" fillId="3" borderId="1" xfId="6" quotePrefix="1" applyNumberFormat="1" applyFont="1" applyFill="1" applyBorder="1" applyAlignment="1">
      <alignment horizontal="left"/>
    </xf>
    <xf numFmtId="168" fontId="20" fillId="3" borderId="1" xfId="7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3" fillId="0" borderId="2" xfId="0" applyFont="1" applyBorder="1" applyAlignment="1">
      <alignment horizontal="left"/>
    </xf>
    <xf numFmtId="14" fontId="1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0" fontId="0" fillId="0" borderId="0" xfId="0" pivotButton="1"/>
    <xf numFmtId="3" fontId="13" fillId="3" borderId="1" xfId="0" applyNumberFormat="1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14" fontId="13" fillId="3" borderId="1" xfId="0" applyNumberFormat="1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left" wrapText="1"/>
    </xf>
    <xf numFmtId="164" fontId="5" fillId="0" borderId="0" xfId="0" applyNumberFormat="1" applyFont="1" applyAlignment="1">
      <alignment horizontal="left"/>
    </xf>
    <xf numFmtId="14" fontId="0" fillId="0" borderId="1" xfId="0" applyNumberFormat="1" applyBorder="1"/>
    <xf numFmtId="1" fontId="12" fillId="5" borderId="1" xfId="0" applyNumberFormat="1" applyFont="1" applyFill="1" applyBorder="1" applyAlignment="1">
      <alignment horizontal="center" wrapText="1"/>
    </xf>
    <xf numFmtId="1" fontId="13" fillId="0" borderId="1" xfId="0" applyNumberFormat="1" applyFont="1" applyBorder="1" applyAlignment="1">
      <alignment horizontal="center" wrapText="1"/>
    </xf>
    <xf numFmtId="0" fontId="14" fillId="3" borderId="1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 vertical="center" wrapText="1"/>
    </xf>
    <xf numFmtId="170" fontId="13" fillId="3" borderId="1" xfId="3" applyNumberFormat="1" applyFont="1" applyFill="1" applyBorder="1" applyAlignment="1">
      <alignment horizontal="center" wrapText="1"/>
    </xf>
    <xf numFmtId="169" fontId="13" fillId="3" borderId="1" xfId="3" applyNumberFormat="1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1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3" fillId="3" borderId="1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4" fontId="13" fillId="3" borderId="1" xfId="0" applyNumberFormat="1" applyFont="1" applyFill="1" applyBorder="1" applyAlignment="1">
      <alignment wrapText="1"/>
    </xf>
    <xf numFmtId="0" fontId="13" fillId="4" borderId="1" xfId="0" applyFont="1" applyFill="1" applyBorder="1" applyAlignment="1">
      <alignment horizontal="left" wrapText="1"/>
    </xf>
    <xf numFmtId="0" fontId="14" fillId="3" borderId="1" xfId="0" applyFont="1" applyFill="1" applyBorder="1" applyAlignment="1">
      <alignment horizontal="left"/>
    </xf>
    <xf numFmtId="169" fontId="0" fillId="0" borderId="1" xfId="0" applyNumberFormat="1" applyBorder="1" applyAlignment="1">
      <alignment horizontal="right"/>
    </xf>
  </cellXfs>
  <cellStyles count="12">
    <cellStyle name="Normal" xfId="0" builtinId="0"/>
    <cellStyle name="Normal 2" xfId="1" xr:uid="{9BE642BB-273F-4B51-83CF-37267CFD3518}"/>
    <cellStyle name="Normal 3" xfId="2" xr:uid="{9DE212AC-D300-49F4-B05F-B1689C2CB2BE}"/>
    <cellStyle name="Normal 3 2" xfId="8" xr:uid="{15B0491C-A35D-4EEE-AE8D-4E4D9E3DFC9E}"/>
    <cellStyle name="Normal 4" xfId="4" xr:uid="{BCDFB565-2613-4252-9714-6648752CEAD4}"/>
    <cellStyle name="Normal 4 2" xfId="10" xr:uid="{0BDFEA74-0352-40E9-996C-6311948253EE}"/>
    <cellStyle name="Normal 5" xfId="5" xr:uid="{36D30022-6B9E-441D-B20B-8C0730A5A590}"/>
    <cellStyle name="Normal 5 2" xfId="11" xr:uid="{4AED8A0E-90A0-44BF-9D88-3538F08CA13D}"/>
    <cellStyle name="Normal_MOD-AU" xfId="7" xr:uid="{339F0EBB-4754-469A-BE22-23ECBD246DB8}"/>
    <cellStyle name="Normal_PPF_Template" xfId="6" xr:uid="{15F7679F-F24B-4F2F-8746-E28A8A603EB0}"/>
    <cellStyle name="Vírgula" xfId="3" builtinId="3"/>
    <cellStyle name="Vírgula 2" xfId="9" xr:uid="{E22DB87B-67B6-4228-95B4-147196877113}"/>
  </cellStyles>
  <dxfs count="210"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9" formatCode="#,##0_ ;[Red]\-#,##0\ 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alignment horizontal="right"/>
    </dxf>
    <dxf>
      <alignment horizontal="left"/>
    </dxf>
    <dxf>
      <numFmt numFmtId="3" formatCode="#,##0"/>
    </dxf>
    <dxf>
      <numFmt numFmtId="3" formatCode="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LOGISTICA\39.%20REPOSI&#199;&#195;O%20DE%20EMBALAGEM\REPOSI&#199;&#195;O%20DE%20EMBALAGENS%202026%20ATUALIZADO\C&#243;pia%20de%20REPOSI&#199;&#195;O%20DE%20EMBALAGEM%20ATUALIZADO%202026%20Rev02%20(003)%20PALETIZACAO%20DARISON.xlsx" TargetMode="External"/><Relationship Id="rId1" Type="http://schemas.openxmlformats.org/officeDocument/2006/relationships/externalLinkPath" Target="file:///X:\LOGISTICA\39.%20REPOSI&#199;&#195;O%20DE%20EMBALAGEM\REPOSI&#199;&#195;O%20DE%20EMBALAGENS%202026%20ATUALIZADO\C&#243;pia%20de%20REPOSI&#199;&#195;O%20DE%20EMBALAGEM%20ATUALIZADO%202026%20Rev02%20(003)%20PALETIZACAO%20D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CRICAO PRODUTO"/>
      <sheetName val="Planilha1"/>
      <sheetName val="Planilha2"/>
      <sheetName val="RESUMO"/>
      <sheetName val="SOLICITACOES "/>
      <sheetName val="CRONOGRAMA DE ENTREGA"/>
      <sheetName val="Planilha3"/>
    </sheetNames>
    <sheetDataSet>
      <sheetData sheetId="0">
        <row r="1">
          <cell r="A1" t="str">
            <v>CODIGO</v>
          </cell>
          <cell r="B1" t="str">
            <v>DESCRIÇÃO</v>
          </cell>
          <cell r="C1" t="str">
            <v>MODELO</v>
          </cell>
        </row>
        <row r="2">
          <cell r="A2" t="str">
            <v>0645-01</v>
          </cell>
          <cell r="B2" t="str">
            <v>CAIXA AMPLIFICADA MCO-14 BIVOLT .</v>
          </cell>
          <cell r="C2" t="str">
            <v>MCO 14</v>
          </cell>
        </row>
        <row r="3">
          <cell r="A3" t="str">
            <v>0685-01</v>
          </cell>
          <cell r="B3" t="str">
            <v>CAIXA AMPLIFICADA CM-400 BIVOLT .</v>
          </cell>
          <cell r="C3" t="str">
            <v>CM 400</v>
          </cell>
        </row>
        <row r="4">
          <cell r="A4" t="str">
            <v>0685-02</v>
          </cell>
          <cell r="B4" t="str">
            <v>CAIXA AMPLIFICADA CM-400 BIVOLT .</v>
          </cell>
          <cell r="C4" t="str">
            <v>CM 400</v>
          </cell>
        </row>
        <row r="5">
          <cell r="A5" t="str">
            <v>0685-03</v>
          </cell>
          <cell r="B5" t="str">
            <v>CAIXA AMPLIFICADA CM-400 BIVOLT .</v>
          </cell>
          <cell r="C5" t="str">
            <v>CM 400</v>
          </cell>
        </row>
        <row r="6">
          <cell r="A6" t="str">
            <v>0685-04</v>
          </cell>
          <cell r="B6" t="str">
            <v>CAIXA AMPLIFICADA CM-400 BIVOLT .</v>
          </cell>
          <cell r="C6" t="str">
            <v>CM 400</v>
          </cell>
        </row>
        <row r="7">
          <cell r="A7" t="str">
            <v>1455-01</v>
          </cell>
          <cell r="B7" t="str">
            <v>DVD D-22 BIVOLT .</v>
          </cell>
          <cell r="C7" t="str">
            <v>DVD</v>
          </cell>
        </row>
        <row r="8">
          <cell r="A8" t="str">
            <v>1705-01</v>
          </cell>
          <cell r="B8" t="str">
            <v>CAIXA AMPLIFICADA CM-500 BIVOLT.</v>
          </cell>
          <cell r="C8" t="str">
            <v>CM 500</v>
          </cell>
        </row>
        <row r="9">
          <cell r="A9" t="str">
            <v>1705-02</v>
          </cell>
          <cell r="B9" t="str">
            <v>CAIXA AMPLIFICADA CM-500 BIVOLT .</v>
          </cell>
          <cell r="C9" t="str">
            <v>CM 500</v>
          </cell>
        </row>
        <row r="10">
          <cell r="A10" t="str">
            <v>2108-01</v>
          </cell>
          <cell r="B10" t="str">
            <v>CAIXA AMPLIFICADA CM-250 BIVOLT .</v>
          </cell>
          <cell r="C10" t="str">
            <v>CM 250</v>
          </cell>
        </row>
        <row r="11">
          <cell r="A11" t="str">
            <v>2108-02</v>
          </cell>
          <cell r="B11" t="str">
            <v>CAIXA AMPLIFICADA CM-250 BIVOLT .</v>
          </cell>
          <cell r="C11" t="str">
            <v>CM 250</v>
          </cell>
        </row>
        <row r="12">
          <cell r="A12" t="str">
            <v>2108-03</v>
          </cell>
          <cell r="B12" t="str">
            <v>CAIXA AMPLIFICADA CM-250 BIVOLT .</v>
          </cell>
          <cell r="C12" t="str">
            <v>CM 250</v>
          </cell>
        </row>
        <row r="13">
          <cell r="A13" t="str">
            <v>2401-01</v>
          </cell>
          <cell r="B13" t="str">
            <v>TORRE DE SOM TM-1200 BIV</v>
          </cell>
          <cell r="C13" t="str">
            <v>TM1200</v>
          </cell>
        </row>
        <row r="14">
          <cell r="A14" t="str">
            <v>2501-01</v>
          </cell>
          <cell r="B14" t="str">
            <v>TORRE DE SOM TM2200 BIV</v>
          </cell>
          <cell r="C14" t="str">
            <v>TM2200</v>
          </cell>
        </row>
        <row r="15">
          <cell r="A15" t="str">
            <v>2555-01</v>
          </cell>
          <cell r="B15" t="str">
            <v>CAIXA AMPLIFICADA CM-550 BIVOLT .</v>
          </cell>
          <cell r="C15" t="str">
            <v>CM 550</v>
          </cell>
        </row>
        <row r="16">
          <cell r="A16" t="str">
            <v>2555-03</v>
          </cell>
          <cell r="B16" t="str">
            <v>CAIXA AMPLIFICADA CM-550 BIVOLT .</v>
          </cell>
          <cell r="C16" t="str">
            <v>CM 550</v>
          </cell>
        </row>
        <row r="17">
          <cell r="A17" t="str">
            <v>2555-04</v>
          </cell>
          <cell r="B17" t="str">
            <v>CAIXA AMPLIFICADA CM-550 BIVOLT .</v>
          </cell>
          <cell r="C17" t="str">
            <v>CM 550</v>
          </cell>
        </row>
        <row r="18">
          <cell r="A18" t="str">
            <v>2555-05</v>
          </cell>
          <cell r="B18" t="str">
            <v>CAIXA AMPLIFICADA CM-550 BIVOLT .</v>
          </cell>
          <cell r="C18" t="str">
            <v>CM 550</v>
          </cell>
        </row>
        <row r="19">
          <cell r="A19" t="str">
            <v>2955-01</v>
          </cell>
          <cell r="B19" t="str">
            <v>DVD D-21 BIVOLT .</v>
          </cell>
          <cell r="C19" t="str">
            <v>DVD</v>
          </cell>
        </row>
        <row r="20">
          <cell r="A20" t="str">
            <v>4487-01</v>
          </cell>
          <cell r="B20" t="str">
            <v>BOOMBOX AWS-BBS-01-GR BIVOLT</v>
          </cell>
          <cell r="C20" t="str">
            <v>BBS GR</v>
          </cell>
        </row>
        <row r="21">
          <cell r="A21" t="str">
            <v>4860-01</v>
          </cell>
          <cell r="B21" t="str">
            <v>DVD D-15 BIVOLT KARAOKE USB</v>
          </cell>
          <cell r="C21" t="str">
            <v>DVD</v>
          </cell>
        </row>
        <row r="22">
          <cell r="A22" t="str">
            <v>4865-01</v>
          </cell>
          <cell r="B22" t="str">
            <v>DVD D-20 BIVOLT KARAOKE</v>
          </cell>
          <cell r="C22" t="str">
            <v>DVD</v>
          </cell>
        </row>
        <row r="23">
          <cell r="A23" t="str">
            <v>4899-01</v>
          </cell>
          <cell r="B23" t="str">
            <v>BOOMBOX AWS-BBS-01-B BIVOLT</v>
          </cell>
          <cell r="C23" t="str">
            <v>BBS PRETO</v>
          </cell>
        </row>
        <row r="24">
          <cell r="A24" t="str">
            <v>5003-01</v>
          </cell>
          <cell r="B24" t="str">
            <v>TV 50 SMART AWS-TV-50-BL-01</v>
          </cell>
          <cell r="C24" t="str">
            <v>TV 50 SMART</v>
          </cell>
        </row>
        <row r="25">
          <cell r="A25" t="str">
            <v>5015-01</v>
          </cell>
          <cell r="B25" t="str">
            <v>TORRE DE SOM AWS-T2W-01 BIVOLT BLUETOOTH</v>
          </cell>
          <cell r="C25" t="str">
            <v>T2W</v>
          </cell>
        </row>
        <row r="26">
          <cell r="A26" t="str">
            <v>5016-01</v>
          </cell>
          <cell r="B26" t="str">
            <v>TORRE DE SOM AWS-T2W-02 BIVOLT BLUETOOTH</v>
          </cell>
          <cell r="C26" t="str">
            <v>T2W</v>
          </cell>
        </row>
        <row r="27">
          <cell r="A27" t="str">
            <v>5022-01</v>
          </cell>
          <cell r="B27" t="str">
            <v>TV 65 GOOGLE INF AWS-TV-65-BL-01-G</v>
          </cell>
          <cell r="C27" t="str">
            <v>TV 65</v>
          </cell>
        </row>
        <row r="28">
          <cell r="A28" t="str">
            <v>5026-01</v>
          </cell>
          <cell r="B28" t="str">
            <v>TV 50 ANDROID BORD INF AWS-TV-50-BL-02-A</v>
          </cell>
          <cell r="C28" t="str">
            <v>TV 50 ANDROID</v>
          </cell>
        </row>
        <row r="29">
          <cell r="A29" t="str">
            <v>5026-02</v>
          </cell>
          <cell r="B29" t="str">
            <v>TV 50 ANDROID BORD INF AWS-TV-50-BL-02-A</v>
          </cell>
          <cell r="C29" t="str">
            <v>TV 50 ANDROID</v>
          </cell>
        </row>
        <row r="30">
          <cell r="A30" t="str">
            <v>5115-01</v>
          </cell>
          <cell r="B30" t="str">
            <v>TORRE DE SOM AWS-T1W-01 BIVOLT BLUETOOTH</v>
          </cell>
          <cell r="C30" t="str">
            <v>T1W</v>
          </cell>
        </row>
        <row r="31">
          <cell r="A31" t="str">
            <v>5116-01</v>
          </cell>
          <cell r="B31" t="str">
            <v>TORRE DE SOM AWS-T1W-02 BIVOLT BLUETOOTH</v>
          </cell>
          <cell r="C31" t="str">
            <v>T1W</v>
          </cell>
        </row>
        <row r="32">
          <cell r="A32" t="str">
            <v>5122-01</v>
          </cell>
          <cell r="B32" t="str">
            <v>TV 75 GOOGLE BORD INF AWS</v>
          </cell>
          <cell r="C32" t="str">
            <v>TV 75</v>
          </cell>
        </row>
        <row r="33">
          <cell r="A33" t="str">
            <v>5141-02</v>
          </cell>
          <cell r="B33" t="str">
            <v>BOOMBOX BX-18 BIVOLT UP ORANGE</v>
          </cell>
          <cell r="C33" t="str">
            <v>BX 18</v>
          </cell>
        </row>
        <row r="34">
          <cell r="A34" t="str">
            <v>5141-03</v>
          </cell>
          <cell r="B34" t="str">
            <v>BOOMBOX BX-18 BIVOLT UP ORANGE</v>
          </cell>
          <cell r="C34" t="str">
            <v>BX 18</v>
          </cell>
        </row>
        <row r="35">
          <cell r="A35" t="str">
            <v>5141-04</v>
          </cell>
          <cell r="B35" t="str">
            <v>BOOMBOX BX-18 BIVOLT UP ORANGE</v>
          </cell>
          <cell r="C35" t="str">
            <v>BX 18</v>
          </cell>
        </row>
        <row r="36">
          <cell r="A36" t="str">
            <v>5161-01</v>
          </cell>
          <cell r="B36" t="str">
            <v>BOOMBOX NBX-13 BIVOLT UP BLACK</v>
          </cell>
          <cell r="C36" t="str">
            <v>BX 13</v>
          </cell>
        </row>
        <row r="37">
          <cell r="A37" t="str">
            <v>5161-02</v>
          </cell>
          <cell r="B37" t="str">
            <v>BOOMBOX NBX-13 BIVOLT UP BLACK</v>
          </cell>
          <cell r="C37" t="str">
            <v>BX 13</v>
          </cell>
        </row>
        <row r="38">
          <cell r="A38" t="str">
            <v>5241-01</v>
          </cell>
          <cell r="B38" t="str">
            <v>BOOMBOX BX-19 BIVOLT UP DYNAMIC</v>
          </cell>
          <cell r="C38" t="str">
            <v>BX 19</v>
          </cell>
        </row>
        <row r="39">
          <cell r="A39" t="str">
            <v>5241-02</v>
          </cell>
          <cell r="B39" t="str">
            <v>BOOMBOX BX-19 BIVOLT UP DYNAMIC</v>
          </cell>
          <cell r="C39" t="str">
            <v>BX 19</v>
          </cell>
        </row>
        <row r="40">
          <cell r="A40" t="str">
            <v>5243-01</v>
          </cell>
          <cell r="B40" t="str">
            <v>BOOMBOX BX-21ML BIVOLT .</v>
          </cell>
          <cell r="C40" t="str">
            <v>BX 21</v>
          </cell>
        </row>
        <row r="41">
          <cell r="A41" t="str">
            <v>5243-02</v>
          </cell>
          <cell r="B41" t="str">
            <v>BOOMBOX BX-21ML BIVOLT .</v>
          </cell>
          <cell r="C41" t="str">
            <v>BX 21</v>
          </cell>
        </row>
        <row r="42">
          <cell r="A42" t="str">
            <v>5487-01</v>
          </cell>
          <cell r="B42" t="str">
            <v>CAIXA AMPLIFICADA CM-150 BIVOLT .</v>
          </cell>
          <cell r="C42" t="str">
            <v>CM150</v>
          </cell>
        </row>
        <row r="43">
          <cell r="A43" t="str">
            <v>5487-02</v>
          </cell>
          <cell r="B43" t="str">
            <v>CAIXA AMPLIFICADA CM-150 BIVOLT .</v>
          </cell>
          <cell r="C43" t="str">
            <v>CM150</v>
          </cell>
        </row>
        <row r="44">
          <cell r="A44" t="str">
            <v>5504-01</v>
          </cell>
          <cell r="B44" t="str">
            <v>TV 55 ANDROID AWS-TV-55-BL-01</v>
          </cell>
          <cell r="C44" t="str">
            <v>TV 55 ANDROID</v>
          </cell>
        </row>
        <row r="45">
          <cell r="A45" t="str">
            <v>5504-02</v>
          </cell>
          <cell r="B45" t="str">
            <v>TV 55 ANDROID AWS-TV-55-BL-01</v>
          </cell>
          <cell r="C45" t="str">
            <v>TV 55 ANDROID</v>
          </cell>
        </row>
        <row r="46">
          <cell r="A46" t="str">
            <v>5595-01</v>
          </cell>
          <cell r="B46" t="str">
            <v>CAIXA AMPLIFICADA CM-16 BIVOLT .</v>
          </cell>
          <cell r="C46" t="str">
            <v>CM 16</v>
          </cell>
        </row>
        <row r="47">
          <cell r="A47" t="str">
            <v>5615-01</v>
          </cell>
          <cell r="B47" t="str">
            <v>MICRO-ONDAS MO-01-21-B 127V/60HZ</v>
          </cell>
          <cell r="C47" t="str">
            <v>MO 21L</v>
          </cell>
        </row>
        <row r="48">
          <cell r="A48" t="str">
            <v>5615-02</v>
          </cell>
          <cell r="B48" t="str">
            <v>MICRO-ONDAS MO-01-21-B 220V/60HZ .</v>
          </cell>
          <cell r="C48" t="str">
            <v>MO 21L</v>
          </cell>
        </row>
        <row r="49">
          <cell r="A49" t="str">
            <v>5615-03</v>
          </cell>
          <cell r="B49" t="str">
            <v>MICRO-ONDAS MO-01-21-B 127V/60HZ</v>
          </cell>
          <cell r="C49" t="str">
            <v>MO 21L</v>
          </cell>
        </row>
        <row r="50">
          <cell r="A50" t="str">
            <v>5615-04</v>
          </cell>
          <cell r="B50" t="str">
            <v>MICRO-ONDAS MO-01-21-B 220V/60HZ .</v>
          </cell>
          <cell r="C50" t="str">
            <v>MO 21L</v>
          </cell>
        </row>
        <row r="51">
          <cell r="A51" t="str">
            <v>5616-01</v>
          </cell>
          <cell r="B51" t="str">
            <v>MICRO-ONDAS MO-01-21-W 127V/60HZ .</v>
          </cell>
          <cell r="C51" t="str">
            <v>MO 21L</v>
          </cell>
        </row>
        <row r="52">
          <cell r="A52" t="str">
            <v>5616-02</v>
          </cell>
          <cell r="B52" t="str">
            <v>MICRO-ONDAS MO-01-21-W 220V/60HZ</v>
          </cell>
          <cell r="C52" t="str">
            <v>MO 21L</v>
          </cell>
        </row>
        <row r="53">
          <cell r="A53" t="str">
            <v>5616-03</v>
          </cell>
          <cell r="B53" t="str">
            <v>MICRO-ONDAS MO-01-21-W 127V/60HZ .</v>
          </cell>
          <cell r="C53" t="str">
            <v>MO 21L</v>
          </cell>
        </row>
        <row r="54">
          <cell r="A54" t="str">
            <v>5616-04</v>
          </cell>
          <cell r="B54" t="str">
            <v>MICRO-ONDAS MO-01-21-W 220V/60HZ</v>
          </cell>
          <cell r="C54" t="str">
            <v>MO 21L</v>
          </cell>
        </row>
        <row r="55">
          <cell r="A55" t="str">
            <v>5617-01</v>
          </cell>
          <cell r="B55" t="str">
            <v>MICRO-ONDAS MO-02-34-W 127V/60HZ .</v>
          </cell>
          <cell r="C55" t="str">
            <v>MO 34L</v>
          </cell>
        </row>
        <row r="56">
          <cell r="A56" t="str">
            <v>5617-02</v>
          </cell>
          <cell r="B56" t="str">
            <v>MICRO-ONDAS MO-02-34-W 220V/60HZ .</v>
          </cell>
          <cell r="C56" t="str">
            <v>MO 34L</v>
          </cell>
        </row>
        <row r="57">
          <cell r="A57" t="str">
            <v>5617-03</v>
          </cell>
          <cell r="B57" t="str">
            <v>MICRO-ONDAS MO-02-34-W 127V/60HZ .</v>
          </cell>
          <cell r="C57" t="str">
            <v>MO 34L</v>
          </cell>
        </row>
        <row r="58">
          <cell r="A58" t="str">
            <v>5617-04</v>
          </cell>
          <cell r="B58" t="str">
            <v>MICRO-ONDAS MO-02-34-W 220V/60HZ .</v>
          </cell>
          <cell r="C58" t="str">
            <v>MO 34L</v>
          </cell>
        </row>
        <row r="59">
          <cell r="A59" t="str">
            <v>5618-01</v>
          </cell>
          <cell r="B59" t="str">
            <v>MICRO-ONDAS MO-02-34-E 127V/60HZ .</v>
          </cell>
          <cell r="C59" t="str">
            <v>MO 34L</v>
          </cell>
        </row>
        <row r="60">
          <cell r="A60" t="str">
            <v>5618-02</v>
          </cell>
          <cell r="B60" t="str">
            <v>MICRO-ONDAS MO-02-34-E 220V/60HZ .</v>
          </cell>
          <cell r="C60" t="str">
            <v>MO 34L</v>
          </cell>
        </row>
        <row r="61">
          <cell r="A61" t="str">
            <v>5618-03</v>
          </cell>
          <cell r="B61" t="str">
            <v>MICRO-ONDAS MO-02-34-E 127V/60HZ .</v>
          </cell>
          <cell r="C61" t="str">
            <v>MO 34L</v>
          </cell>
        </row>
        <row r="62">
          <cell r="A62" t="str">
            <v>5618-04</v>
          </cell>
          <cell r="B62" t="str">
            <v>MICRO-ONDAS MO-02-34-E 220V/60HZ .</v>
          </cell>
          <cell r="C62" t="str">
            <v>MO 34L</v>
          </cell>
        </row>
        <row r="63">
          <cell r="A63" t="str">
            <v>5619-01</v>
          </cell>
          <cell r="B63" t="str">
            <v>MICRO-ONDAS MO-01-21-E 127V/60HZ</v>
          </cell>
          <cell r="C63" t="str">
            <v>MO 21L</v>
          </cell>
        </row>
        <row r="64">
          <cell r="A64" t="str">
            <v>5619-02</v>
          </cell>
          <cell r="B64" t="str">
            <v>MICRO-ONDAS MO-01-21-E 220V/60HZ</v>
          </cell>
          <cell r="C64" t="str">
            <v>MO 21L</v>
          </cell>
        </row>
        <row r="65">
          <cell r="A65" t="str">
            <v>5774-01</v>
          </cell>
          <cell r="B65" t="str">
            <v>MICRO-ONDAS MO-02-34-B 127V/60HZ .</v>
          </cell>
          <cell r="C65" t="str">
            <v>MO 34L</v>
          </cell>
        </row>
        <row r="66">
          <cell r="A66" t="str">
            <v>5774-02</v>
          </cell>
          <cell r="B66" t="str">
            <v>MICRO-ONDAS MO-02-34-B 220V/60HZ .</v>
          </cell>
          <cell r="C66" t="str">
            <v>MO 34L</v>
          </cell>
        </row>
        <row r="67">
          <cell r="A67" t="str">
            <v>5782-01</v>
          </cell>
          <cell r="B67" t="str">
            <v>BOOMBOX AWS-BBS-01-BG BIVOLT</v>
          </cell>
          <cell r="C67" t="str">
            <v>BBS BG</v>
          </cell>
        </row>
        <row r="68">
          <cell r="A68" t="str">
            <v>5787-01</v>
          </cell>
          <cell r="B68" t="str">
            <v>CAIXA AMPLIFICADA CM-400-PL BIVOLT</v>
          </cell>
          <cell r="C68" t="str">
            <v>CM 400 PL</v>
          </cell>
        </row>
        <row r="69">
          <cell r="A69" t="str">
            <v>6010-01</v>
          </cell>
          <cell r="B69" t="str">
            <v>DVD D-14 BIVOLT GAME STAR II</v>
          </cell>
          <cell r="C69" t="str">
            <v>DVD</v>
          </cell>
        </row>
        <row r="70">
          <cell r="A70" t="str">
            <v>6014-01</v>
          </cell>
          <cell r="B70" t="str">
            <v>DVD D-18 BIVOLT .</v>
          </cell>
          <cell r="C70" t="str">
            <v>DVD</v>
          </cell>
        </row>
        <row r="71">
          <cell r="A71" t="str">
            <v>6301-02</v>
          </cell>
          <cell r="B71" t="str">
            <v>CONDENSADOR AWS-C-9F 220V</v>
          </cell>
          <cell r="C71" t="str">
            <v>ARCON</v>
          </cell>
        </row>
        <row r="72">
          <cell r="A72" t="str">
            <v>6302-02</v>
          </cell>
          <cell r="B72" t="str">
            <v>CONDENSADOR AWS-C-9QF 220V</v>
          </cell>
          <cell r="C72" t="str">
            <v>ARCON</v>
          </cell>
        </row>
        <row r="73">
          <cell r="A73" t="str">
            <v>6303-02</v>
          </cell>
          <cell r="B73" t="str">
            <v>CONDENSADOR AWS-C-12F 220V</v>
          </cell>
          <cell r="C73" t="str">
            <v>ARCON</v>
          </cell>
        </row>
        <row r="74">
          <cell r="A74" t="str">
            <v>6304-02</v>
          </cell>
          <cell r="B74" t="str">
            <v>CONDENSADOR AWS-C-12QF 220V</v>
          </cell>
          <cell r="C74" t="str">
            <v>ARCON</v>
          </cell>
        </row>
        <row r="75">
          <cell r="A75" t="str">
            <v>6305-02</v>
          </cell>
          <cell r="B75" t="str">
            <v>CONDENSADOR AWS-C-18F 220V</v>
          </cell>
          <cell r="C75" t="str">
            <v>ARCON</v>
          </cell>
        </row>
        <row r="76">
          <cell r="A76" t="str">
            <v>6306-02</v>
          </cell>
          <cell r="B76" t="str">
            <v>CONDENSADOR AWS-C-18QF 220V</v>
          </cell>
          <cell r="C76" t="str">
            <v>ARCON</v>
          </cell>
        </row>
        <row r="77">
          <cell r="A77" t="str">
            <v>6307-02</v>
          </cell>
          <cell r="B77" t="str">
            <v>CONDENSADOR AWS-C-24F 220V</v>
          </cell>
          <cell r="C77" t="str">
            <v>ARCON</v>
          </cell>
        </row>
        <row r="78">
          <cell r="A78" t="str">
            <v>6308-02</v>
          </cell>
          <cell r="B78" t="str">
            <v>CONDENSADOR AWS-C-24QF 220V</v>
          </cell>
          <cell r="C78" t="str">
            <v>ARCON</v>
          </cell>
        </row>
        <row r="79">
          <cell r="A79" t="str">
            <v>6309-02</v>
          </cell>
          <cell r="B79" t="str">
            <v>CONDENSADOR AWS-C-30F 220V</v>
          </cell>
          <cell r="C79" t="str">
            <v>ARCON</v>
          </cell>
        </row>
        <row r="80">
          <cell r="A80" t="str">
            <v>6311-02</v>
          </cell>
          <cell r="B80" t="str">
            <v>CONDENSADOR AWS-C-30QF 220V</v>
          </cell>
          <cell r="C80" t="str">
            <v>ARCON</v>
          </cell>
        </row>
        <row r="81">
          <cell r="A81" t="str">
            <v>6312-02</v>
          </cell>
          <cell r="B81" t="str">
            <v>EVAPORADOR AWS-EV-9F 220V</v>
          </cell>
          <cell r="C81" t="str">
            <v>ARCON</v>
          </cell>
        </row>
        <row r="82">
          <cell r="A82" t="str">
            <v>6313-02</v>
          </cell>
          <cell r="B82" t="str">
            <v>EVAPORADOR AWS-EV-9QF 220V</v>
          </cell>
          <cell r="C82" t="str">
            <v>ARCON</v>
          </cell>
        </row>
        <row r="83">
          <cell r="A83" t="str">
            <v>6314-02</v>
          </cell>
          <cell r="B83" t="str">
            <v>EVAPORADOR AWS-EV-12F 220V</v>
          </cell>
          <cell r="C83" t="str">
            <v>ARCON</v>
          </cell>
        </row>
        <row r="84">
          <cell r="A84" t="str">
            <v>6315-02</v>
          </cell>
          <cell r="B84" t="str">
            <v>EVAPORADOR AWS-EV-12QF 220V</v>
          </cell>
          <cell r="C84" t="str">
            <v>ARCON</v>
          </cell>
        </row>
        <row r="85">
          <cell r="A85" t="str">
            <v>6316-02</v>
          </cell>
          <cell r="B85" t="str">
            <v>EVAPORADOR AWS-EV-18F 220V</v>
          </cell>
          <cell r="C85" t="str">
            <v>ARCON</v>
          </cell>
        </row>
        <row r="86">
          <cell r="A86" t="str">
            <v>6317-02</v>
          </cell>
          <cell r="B86" t="str">
            <v>EVAPORADOR AWS-EV-18QF 220V</v>
          </cell>
          <cell r="C86" t="str">
            <v>ARCON</v>
          </cell>
        </row>
        <row r="87">
          <cell r="A87" t="str">
            <v>6318-02</v>
          </cell>
          <cell r="B87" t="str">
            <v>EVAPORADOR AWS-EV-24F 220V</v>
          </cell>
          <cell r="C87" t="str">
            <v>ARCON</v>
          </cell>
        </row>
        <row r="88">
          <cell r="A88" t="str">
            <v>6319-02</v>
          </cell>
          <cell r="B88" t="str">
            <v>EVAPORADOR AWS-EV-24QF 220V</v>
          </cell>
          <cell r="C88" t="str">
            <v>ARCON</v>
          </cell>
        </row>
        <row r="89">
          <cell r="A89" t="str">
            <v>6321-02</v>
          </cell>
          <cell r="B89" t="str">
            <v>EVAPORADOR AWS-EV-30F 220V</v>
          </cell>
          <cell r="C89" t="str">
            <v>ARCON</v>
          </cell>
        </row>
        <row r="90">
          <cell r="A90" t="str">
            <v>6323-02</v>
          </cell>
          <cell r="B90" t="str">
            <v>EVAPORADOR AWS-EV-30QF 220V</v>
          </cell>
          <cell r="C90" t="str">
            <v>ARCON</v>
          </cell>
        </row>
        <row r="91">
          <cell r="A91" t="str">
            <v>6324-02</v>
          </cell>
          <cell r="B91" t="str">
            <v>AR CONDICIONADO AWS-AC-9F 220V</v>
          </cell>
          <cell r="C91" t="str">
            <v>ARCON</v>
          </cell>
        </row>
        <row r="92">
          <cell r="A92" t="str">
            <v>6325-02</v>
          </cell>
          <cell r="B92" t="str">
            <v>AR CONDICIONADO AWS-AC-9QF 220V</v>
          </cell>
          <cell r="C92" t="str">
            <v>ARCON</v>
          </cell>
        </row>
        <row r="93">
          <cell r="A93" t="str">
            <v>6326-02</v>
          </cell>
          <cell r="B93" t="str">
            <v>AR CONDICIONADO AWS-AC-12F 220V</v>
          </cell>
          <cell r="C93" t="str">
            <v>ARCON</v>
          </cell>
        </row>
        <row r="94">
          <cell r="A94" t="str">
            <v>6327-02</v>
          </cell>
          <cell r="B94" t="str">
            <v>AR CONDICIONADO AWS-AC-12QF 220V</v>
          </cell>
          <cell r="C94" t="str">
            <v>ARCON</v>
          </cell>
        </row>
        <row r="95">
          <cell r="A95" t="str">
            <v>6328-02</v>
          </cell>
          <cell r="B95" t="str">
            <v>AR CONDICIONADO AWS-AC-18F 220V</v>
          </cell>
          <cell r="C95" t="str">
            <v>ARCON</v>
          </cell>
        </row>
        <row r="96">
          <cell r="A96" t="str">
            <v>6329-02</v>
          </cell>
          <cell r="B96" t="str">
            <v>AR CONDICIONADO AWS-AC-18QF 220V</v>
          </cell>
          <cell r="C96" t="str">
            <v>ARCON</v>
          </cell>
        </row>
        <row r="97">
          <cell r="A97" t="str">
            <v>6331-02</v>
          </cell>
          <cell r="B97" t="str">
            <v>AR CONDICIONADO AWS-AC-24F 220V</v>
          </cell>
          <cell r="C97" t="str">
            <v>ARCON</v>
          </cell>
        </row>
        <row r="98">
          <cell r="A98" t="str">
            <v>6332-02</v>
          </cell>
          <cell r="B98" t="str">
            <v>AR CONDICIONADO AWS-AC-24QF 220V</v>
          </cell>
          <cell r="C98" t="str">
            <v>ARCON</v>
          </cell>
        </row>
        <row r="99">
          <cell r="A99" t="str">
            <v>6333-02</v>
          </cell>
          <cell r="B99" t="str">
            <v>AR CONDICIONADO AWS-AC-30F 220V</v>
          </cell>
          <cell r="C99" t="str">
            <v>ARCON</v>
          </cell>
        </row>
        <row r="100">
          <cell r="A100" t="str">
            <v>6334-02</v>
          </cell>
          <cell r="B100" t="str">
            <v>AR CONDICIONADO AWS-AC-30QF 220V</v>
          </cell>
          <cell r="C100" t="str">
            <v>ARCON</v>
          </cell>
        </row>
        <row r="101">
          <cell r="A101" t="str">
            <v>6336-02</v>
          </cell>
          <cell r="B101" t="str">
            <v>AR CONDICIONADO AWS-AC-9F-EU</v>
          </cell>
          <cell r="C101" t="str">
            <v>ARCON EU</v>
          </cell>
        </row>
        <row r="102">
          <cell r="A102" t="str">
            <v>6337-02</v>
          </cell>
          <cell r="B102" t="str">
            <v>AR CONDICIONADO AWS-AC-9QF-EU</v>
          </cell>
          <cell r="C102" t="str">
            <v>ARCON EU</v>
          </cell>
        </row>
        <row r="103">
          <cell r="A103" t="str">
            <v>6338-02</v>
          </cell>
          <cell r="B103" t="str">
            <v>AR CONDICIONADO AWS AC 12F -EU</v>
          </cell>
          <cell r="C103" t="str">
            <v>ARCON EU</v>
          </cell>
        </row>
        <row r="104">
          <cell r="A104" t="str">
            <v>6339-02</v>
          </cell>
          <cell r="B104" t="str">
            <v>AR CONDICIONADO AWS AC 12 QF -EU</v>
          </cell>
          <cell r="C104" t="str">
            <v>ARCON EU</v>
          </cell>
        </row>
        <row r="105">
          <cell r="A105" t="str">
            <v>6341-02</v>
          </cell>
          <cell r="B105" t="str">
            <v>AR-CONDICIONADO AWS-AC-18F-EU</v>
          </cell>
          <cell r="C105" t="str">
            <v>ARCON EU</v>
          </cell>
        </row>
        <row r="106">
          <cell r="A106" t="str">
            <v>6342-02</v>
          </cell>
          <cell r="B106" t="str">
            <v>AR-CONDICIONADO AWS-AC-18QF-EU</v>
          </cell>
          <cell r="C106" t="str">
            <v>ARCON EU</v>
          </cell>
        </row>
        <row r="107">
          <cell r="A107" t="str">
            <v>6840-02</v>
          </cell>
          <cell r="B107" t="str">
            <v>CAIXA AMPLIFICADA CM-14 BIVOLT .</v>
          </cell>
          <cell r="C107" t="str">
            <v>CM 14</v>
          </cell>
        </row>
        <row r="108">
          <cell r="A108" t="str">
            <v>7041-01</v>
          </cell>
          <cell r="B108" t="str">
            <v>CAIXA AMPLIFICADA CM-300-N BIV.</v>
          </cell>
          <cell r="C108" t="str">
            <v>CM300N</v>
          </cell>
        </row>
        <row r="109">
          <cell r="A109" t="str">
            <v>7044-01</v>
          </cell>
          <cell r="B109" t="str">
            <v>CAIXA AMPLIFICADA CM-650-N BIV.</v>
          </cell>
          <cell r="C109" t="str">
            <v>CM650N</v>
          </cell>
        </row>
        <row r="110">
          <cell r="A110" t="str">
            <v>7045-01</v>
          </cell>
          <cell r="B110" t="str">
            <v>CAIXA AMPLIFICADA CM-1000-N BIV.</v>
          </cell>
          <cell r="C110" t="str">
            <v>CM1000N</v>
          </cell>
        </row>
        <row r="111">
          <cell r="A111" t="str">
            <v>7754-01</v>
          </cell>
          <cell r="B111" t="str">
            <v>TABLET NTB-12G BIVOLT .</v>
          </cell>
          <cell r="C111" t="str">
            <v>TABLET</v>
          </cell>
        </row>
        <row r="112">
          <cell r="A112" t="str">
            <v>80033-02</v>
          </cell>
          <cell r="B112" t="str">
            <v>MICRO-ONDAS MO-02-34-E 220V~50HZ AR COTO</v>
          </cell>
          <cell r="C112" t="str">
            <v>MO 34L</v>
          </cell>
        </row>
        <row r="113">
          <cell r="A113" t="str">
            <v>80034-02</v>
          </cell>
          <cell r="B113" t="str">
            <v>MICRO-ONDAS MO-01-21-W 220V~50HZ AR COTO</v>
          </cell>
          <cell r="C113" t="str">
            <v>MO 21L</v>
          </cell>
        </row>
        <row r="114">
          <cell r="A114" t="str">
            <v>80035-02</v>
          </cell>
          <cell r="B114" t="str">
            <v>MICRO-ONDAS MO-02-34-B 220V~50HZ AR COTO</v>
          </cell>
          <cell r="C114" t="str">
            <v>MO 34L</v>
          </cell>
        </row>
        <row r="115">
          <cell r="A115" t="str">
            <v>80036-02</v>
          </cell>
          <cell r="B115" t="str">
            <v>MICRO-ONDAS MO-02-34-W 220V~50HZ AR COTO</v>
          </cell>
          <cell r="C115" t="str">
            <v>MO 34L</v>
          </cell>
        </row>
        <row r="116">
          <cell r="A116" t="str">
            <v>80037-02</v>
          </cell>
          <cell r="B116" t="str">
            <v>MICRO-ONDAS MO-01-21-B 220V~50HZ AR COTO</v>
          </cell>
          <cell r="C116" t="str">
            <v>MO 21L</v>
          </cell>
        </row>
        <row r="117">
          <cell r="A117" t="str">
            <v>80075-01</v>
          </cell>
          <cell r="B117" t="str">
            <v>CAIXA AMP. CM-400 220V-50/60Hz MK ARG</v>
          </cell>
          <cell r="C117" t="str">
            <v>CM 400</v>
          </cell>
        </row>
        <row r="118">
          <cell r="A118" t="str">
            <v>8054-01</v>
          </cell>
          <cell r="B118" t="str">
            <v>MICRO-ONDAS MO-01-21-B 220V/50HZ AR</v>
          </cell>
          <cell r="C118" t="str">
            <v>MO 21L</v>
          </cell>
        </row>
        <row r="119">
          <cell r="A119" t="str">
            <v>8055-01</v>
          </cell>
          <cell r="B119" t="str">
            <v>MICRO-ONDAS MO-02-34-E 220V/50HZ AR</v>
          </cell>
          <cell r="C119" t="str">
            <v>MO 34L</v>
          </cell>
        </row>
        <row r="120">
          <cell r="A120" t="str">
            <v>8323-03</v>
          </cell>
          <cell r="B120" t="str">
            <v>CAIXA AMPLIFICADA CM-13 BIVOLT .</v>
          </cell>
          <cell r="C120" t="str">
            <v>CM 13</v>
          </cell>
        </row>
        <row r="121">
          <cell r="A121" t="str">
            <v>8814-01</v>
          </cell>
          <cell r="B121" t="str">
            <v>TABLET TB-18 BIVOLT KIDS</v>
          </cell>
          <cell r="C121" t="str">
            <v>TABLET</v>
          </cell>
        </row>
        <row r="122">
          <cell r="A122" t="str">
            <v>8821-01</v>
          </cell>
          <cell r="B122" t="str">
            <v>TABLET TB-14 BIVOLT</v>
          </cell>
          <cell r="C122" t="str">
            <v>TABLET</v>
          </cell>
        </row>
        <row r="123">
          <cell r="A123" t="str">
            <v>8832-01</v>
          </cell>
          <cell r="B123" t="str">
            <v>TV 32 ANDROID BORD INF AWS-TV-32-BL-02-A</v>
          </cell>
          <cell r="C123" t="str">
            <v>TV 32 ANDROID</v>
          </cell>
        </row>
        <row r="124">
          <cell r="A124" t="str">
            <v>8832-02</v>
          </cell>
          <cell r="B124" t="str">
            <v>TV 32 ANDROID BORD INF AWS-TV-32-BL-02-A</v>
          </cell>
          <cell r="C124" t="str">
            <v>TV 32 ANDROID</v>
          </cell>
        </row>
        <row r="125">
          <cell r="A125" t="str">
            <v>8843-01</v>
          </cell>
          <cell r="B125" t="str">
            <v>TV 43 ANDROID BORD INF AWS-TV-43-BL-02-A</v>
          </cell>
          <cell r="C125" t="str">
            <v>TV 43 ANDROID</v>
          </cell>
        </row>
        <row r="126">
          <cell r="A126" t="str">
            <v>8843-02</v>
          </cell>
          <cell r="B126" t="str">
            <v>TV 43 ANDROID BORD INF AWS-TV-43-BL-02-A</v>
          </cell>
          <cell r="C126" t="str">
            <v>TV 43 ANDROID</v>
          </cell>
        </row>
        <row r="127">
          <cell r="A127" t="str">
            <v>8843-03</v>
          </cell>
          <cell r="B127" t="str">
            <v>TV 43 ANDROID BORD INF AWS-TV-43-BL-02-A</v>
          </cell>
          <cell r="C127" t="str">
            <v>TV 43 ANDROID</v>
          </cell>
        </row>
        <row r="128">
          <cell r="A128" t="str">
            <v>8998-01</v>
          </cell>
          <cell r="B128" t="str">
            <v>CAIXA AMPLIFICADA CM-400-L BIVOLT .</v>
          </cell>
          <cell r="C128" t="str">
            <v>CM 400L</v>
          </cell>
        </row>
        <row r="129">
          <cell r="A129" t="str">
            <v>8999-01</v>
          </cell>
          <cell r="B129" t="str">
            <v>CAIXA AMPLIFICADA CM-550-L BIVOLT .</v>
          </cell>
          <cell r="C129" t="str">
            <v>CM 550L</v>
          </cell>
        </row>
        <row r="130">
          <cell r="A130" t="str">
            <v>9531-01</v>
          </cell>
          <cell r="B130" t="str">
            <v>BOOMBOX C/ LUZES AWS-BBS-01-LBL BIVOLT</v>
          </cell>
          <cell r="C130" t="str">
            <v>BBS LBL</v>
          </cell>
        </row>
        <row r="131">
          <cell r="A131" t="str">
            <v>9915-01</v>
          </cell>
          <cell r="B131" t="str">
            <v>CAIXA AMPLIFICADA CM-700 BIVOLT .</v>
          </cell>
          <cell r="C131" t="str">
            <v>CM 700</v>
          </cell>
        </row>
        <row r="132">
          <cell r="A132" t="str">
            <v>9915-02</v>
          </cell>
          <cell r="B132" t="str">
            <v>CAIXA AMPLIFICADA CM-700 BIVOLT .</v>
          </cell>
          <cell r="C132" t="str">
            <v>CM 700</v>
          </cell>
        </row>
        <row r="133">
          <cell r="A133" t="str">
            <v>9915-03</v>
          </cell>
          <cell r="B133" t="str">
            <v>CAIXA AMPLIFICADA CM-700 BIVOLT .</v>
          </cell>
          <cell r="C133" t="str">
            <v>CM 700</v>
          </cell>
        </row>
        <row r="134">
          <cell r="A134" t="str">
            <v>4302-01</v>
          </cell>
          <cell r="B134" t="str">
            <v>TV 43 SMART AWS-TV-43-BL-01</v>
          </cell>
          <cell r="C134" t="str">
            <v xml:space="preserve">TV 43 BL </v>
          </cell>
        </row>
        <row r="135">
          <cell r="A135" t="str">
            <v>7040-01</v>
          </cell>
          <cell r="B135" t="str">
            <v>CAIXA AMPLIFICADA CM-220-N BIV.</v>
          </cell>
          <cell r="C135" t="str">
            <v>CM 220 N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De Souza Monteiro" refreshedDate="46253.469215393518" createdVersion="8" refreshedVersion="8" minRefreshableVersion="3" recordCount="454" xr:uid="{1EF7EFFD-8162-4553-8ADD-B3DE706E1F19}">
  <cacheSource type="worksheet">
    <worksheetSource ref="A1:R455" sheet="SOLICITACOES "/>
  </cacheSource>
  <cacheFields count="18">
    <cacheField name="SOLICITAÇÃO " numFmtId="0">
      <sharedItems containsString="0" containsBlank="1" containsNumber="1" containsInteger="1" minValue="1" maxValue="15"/>
    </cacheField>
    <cacheField name="DATA SOLICITAÇÃO" numFmtId="14">
      <sharedItems containsNonDate="0" containsDate="1" containsString="0" containsBlank="1" minDate="2026-02-12T00:00:00" maxDate="2026-08-12T00:00:00"/>
    </cacheField>
    <cacheField name="SOLICITANTE" numFmtId="0">
      <sharedItems containsBlank="1"/>
    </cacheField>
    <cacheField name="DESTINO" numFmtId="0">
      <sharedItems containsBlank="1"/>
    </cacheField>
    <cacheField name="CODIGO DA EMBALAGEM" numFmtId="0">
      <sharedItems containsBlank="1" count="91">
        <s v="040117-0002-02"/>
        <s v="040117-0004-01"/>
        <s v="040117-0003-01"/>
        <s v="040117-0001-01"/>
        <s v="2017-71"/>
        <s v="2016-12"/>
        <s v="2017-96"/>
        <s v="040117-0005-01"/>
        <s v="2016-78"/>
        <s v="2019-23"/>
        <s v="2019-75"/>
        <s v="040225-0002-02"/>
        <s v="040125-0018-01"/>
        <s v="2019-77"/>
        <s v="040125-0002-02"/>
        <s v="040225-0003-01"/>
        <s v="040125-0012-01"/>
        <s v="2016-52"/>
        <s v="040125-0010-01"/>
        <s v="2017-22"/>
        <s v="2017-18"/>
        <s v="040125-0004-01"/>
        <s v="040125-0014-01"/>
        <s v="040125-0030-01"/>
        <s v="030625-0001-01"/>
        <s v="040125-0009-01"/>
        <s v="2010-60"/>
        <s v="1116-33"/>
        <s v="1116-32"/>
        <s v="1114-42"/>
        <s v="1116-38"/>
        <s v="1114-51"/>
        <s v="2017-95"/>
        <s v="2017-73"/>
        <s v="2019-90"/>
        <s v="2019-72"/>
        <s v="2019-93"/>
        <s v="2019-69"/>
        <s v="030623-0001-02"/>
        <s v="040323-0003-01"/>
        <s v="040323-0001-01"/>
        <s v="030623-0006-01"/>
        <s v="030623-0010-01"/>
        <s v="030623-0002-02"/>
        <s v="030623-0007-01"/>
        <s v="030623-0005-01"/>
        <s v="040323-0006-01"/>
        <s v="040323-0005-01"/>
        <s v="030623-0003-02"/>
        <s v="030623-0008-01"/>
        <s v="030623-0004-01"/>
        <s v="030623-0009-01"/>
        <s v="1117-57"/>
        <s v="1116-59"/>
        <s v="1118-01"/>
        <s v="030625-0005-01"/>
        <s v="040125-0023-01"/>
        <s v="030625-0006-01"/>
        <s v="040125-0017-01"/>
        <s v="040125-0024-01"/>
        <s v="030625-0008-01"/>
        <s v="040125-0027-01"/>
        <s v="030625-0009-01"/>
        <s v="040125-0028-01"/>
        <s v="040122-0009-02"/>
        <s v="040122-0015-01"/>
        <s v="040122-0010-02"/>
        <s v="040122-0016-01"/>
        <s v="040122-0017-01"/>
        <s v="040122-0003-01"/>
        <s v="040122-0004-02"/>
        <s v="040122-0018-01"/>
        <s v="040122-0013-01"/>
        <s v="040122-0011-02"/>
        <s v="040122-0014-01"/>
        <s v="040125-0007-01"/>
        <s v="040125-0029-01"/>
        <s v="040225-0004-01"/>
        <s v="040722-0001-01"/>
        <s v="2017-70"/>
        <s v="040122-0002-01"/>
        <s v="040125-0037-01"/>
        <s v="040125-0038-01"/>
        <s v="040125-0040-01"/>
        <s v="040125-0041-02"/>
        <s v="040125-0029-02"/>
        <s v="020317-0002-01"/>
        <s v="040125-0039-01"/>
        <s v="040125-0040-02"/>
        <m/>
        <s v="040117-0002-01" u="1"/>
      </sharedItems>
    </cacheField>
    <cacheField name="DESCRIÇAO DA EMBALAGEM" numFmtId="0">
      <sharedItems containsBlank="1" count="79">
        <s v="CX DE EMBALAGEM INDIVIDUAL AWS-BBS-01-B"/>
        <s v="CX DE EMBALAGEM INDIVIDUAL AWS-BBS-01-BG"/>
        <s v="CX DE EMBALAGEM INDIVIDUAL AWS-BBS-01-GR"/>
        <s v="CX DE EMBALAGEM INDIVIDUAL BX-18"/>
        <s v="CAIXA EMBALAGEM COLETIVA BX-18"/>
        <s v="EMBALAGEM INDIVIDUAL BX-19 "/>
        <s v="EMBALAGEM INDIVIDUAL BX-21 NV"/>
        <s v="CX DE EMBALAGEM INDIVIDUAL AWS-BBS-01-LB"/>
        <s v="EMBALAGEM IND NBX-13 - REV.01"/>
        <s v="EMBALAGEM INDIVIDUAL CM-13"/>
        <s v="CAIXA DE EMBALAGEM INDIVIDUAL CM-14"/>
        <s v="CX DE EMBALAGEM COLETIVA CM-150/CM-220-N"/>
        <s v="CX DE EMBALAGEM INDIVIDUAL CM-150"/>
        <s v="CAIXA EMBALAGEM INDIVIDUAL CM-16"/>
        <s v="CX DE EMBALAGEM INDIVIDUAL CM-250"/>
        <s v="CX DE EMBALAGEM COLETIVA CM-250"/>
        <s v="CX DE EMBALAGEM INDIVIDUAL CM-400"/>
        <s v="EMBALAGEM INDIVIDUAL CM-400 AMPLA"/>
        <s v="EMBALAGEM IND PARDA CM500 - ONDA BC"/>
        <s v="EMBALAGEM INDIVIDUAL CM-500 ONDA B"/>
        <s v="CX DE EMBALAGEM INDIVIDUAL CM-550"/>
        <s v="CX DE EMBALAGEM INDIVIDUAL CM-550-L"/>
        <s v="RÓTULO DE IDENTIF CM-700"/>
        <s v="CX DE EMBALAGEM INDIVIDUAL CM-700"/>
        <s v="EMBALAGEM INDIVIDUAL MCO-14"/>
        <s v="CAIXA EMBALAGEM INDIVIDUAL DVD D-14"/>
        <s v="CAIXA EMBALAGEM COLETIVA DVD D-14"/>
        <s v="EMBALAGEM INDIVIDUAL DVD D-15"/>
        <s v="EMBALAGEM COLETIVA DVD D-15"/>
        <s v="CAIXA EMBALAGEM INDIVIDUAL DVD D-18"/>
        <s v="EMBALAGEM IND DVD D-20 "/>
        <s v="EMBALAGEM COLETIVA PARDA DVD ONDA C"/>
        <s v="EMBALAGEM INDIVIDUAL DVD D-21"/>
        <s v="EMBALAGEM INDIVIDUAL DVD D-22"/>
        <s v="CAIXA EMBALAGEM COLETIVA DVD"/>
        <s v="RÓTULO DE IDENTIF BLACK 21L 450X250MM"/>
        <s v="CALÇO DE EPS SUPERIOR 21L 480X385X150MM"/>
        <s v="CALÇO DE EPS INFERIOR 21L 480X385X150MM"/>
        <s v="RÓTULO DE IDENTIF MIRROR 21L 450X250MM"/>
        <s v="RÓTULO DE IDENTIF WHITE 21L "/>
        <s v="RÓTULO DE IDENTIF WHITE 21L 450X250MM"/>
        <s v="RÓTULO DE IDENTIF BLACK 34L 530X285MM"/>
        <s v="CALÇO DE EPS INFERIOR 34L "/>
        <s v="CALÇO DE EPS SUPERIOR 34L "/>
        <s v="RÓTULO DE IDENTIF MIRROR 34L 530X285MM"/>
        <s v="RÓTULO DE IDENTIF WHITE 34L 530X285MM"/>
        <s v="CAIXA DE EMBALAGEM INDIVIDUAL NTB-12G"/>
        <s v="CAIXA EMBALAGEM INDIVIDUAL TB-14"/>
        <s v="CAIXA EMBALAGEM INDIVIDUAL TB-18"/>
        <s v="ROTULO DE IDENTIFICAÇAO T1W"/>
        <s v="CX DE EMBALAGEM INDIVIDUAL T1W"/>
        <s v="RÓTULO DE IDENTIF T2W"/>
        <s v="CX DE EMBALAGEM INDIVIDUAL T2W"/>
        <s v="RÓTULO DE IDENTIF TM-1200"/>
        <s v="CX DE EMBALAGEM INDIVIDUAL TM-1200"/>
        <s v="RÓTULO DE IDENTIF TM-2200"/>
        <s v="CX DE EMBALAGEM INDIVIDUAL TM-2200"/>
        <s v="CX DE EMBALAGEM INDIVIDUAL ANDROID 32"/>
        <s v="CX DE EMBALAGEM INDIVIDUAL ANDROID 43&quot;"/>
        <s v="CX DE EMBALAGEM INDIVIDUAL TV50&quot;"/>
        <s v="CX DE EMBALAGEM INDIVIDUAL TV55&quot; - TEMP"/>
        <s v="CX DE EMBALAGEM INDIVIDUAL GOOGLE 65"/>
        <s v="CX DE EMBALAGEM INDIVIDUAL GOOGLE 75"/>
        <s v="CX DE EMBALAGEM INDIVIDUAL CM-400-L"/>
        <s v="CX DE EMBALAGEM COLETIVA CM-400-L"/>
        <s v="FITA PARA EMBALAGEM - AIWA"/>
        <s v="EMBALAGEM COL PARDA MCO-14 ONDA C"/>
        <s v="CX DE EMBALAGEM INDIVIDUAL TV43&quot;"/>
        <s v="CX DE EMBALAGEM INDIVIDUAL CM-220-N"/>
        <s v="CX DE EMBALAGEM INDIVIDUAL CM-300-N"/>
        <s v="CX DE EMBALAGEM INDIVIDUAL CM-650-N"/>
        <s v="CX DE EMBALAGEM INDIVIDUAL CM-1000-N"/>
        <s v="ETQ LACRE DA EMBALAGEM TRANSP AWS-BBS-01"/>
        <s v="CX DE EMBALAGEM INDIVIDUAL CM-500-N"/>
        <m/>
        <s v="CX DE EMBALAGEM INDIVIDUAL ANDROID 55" u="1"/>
        <s v="CX DE EMBALAGEM INDIVIDUAL ANDROID 50" u="1"/>
        <s v="CX DE EMBALAGEM INDIVIDUAL ANDROID 43" u="1"/>
        <s v="RÓTULO DE IDENTIF T1W" u="1"/>
      </sharedItems>
    </cacheField>
    <cacheField name="TIPO" numFmtId="0">
      <sharedItems containsBlank="1"/>
    </cacheField>
    <cacheField name="TIPO DE EMBALAGEM" numFmtId="0">
      <sharedItems containsBlank="1"/>
    </cacheField>
    <cacheField name="CODIGO DO PRODUTO" numFmtId="0">
      <sharedItems containsBlank="1" count="92">
        <s v="4899-01"/>
        <s v="5782-01"/>
        <s v="4487-01"/>
        <s v="5141-04"/>
        <s v="5141-02"/>
        <s v="5141-03"/>
        <s v="5241-01"/>
        <s v="5241-02"/>
        <s v="5243-02"/>
        <s v="5243-01"/>
        <s v="9531-01"/>
        <s v="5161-01"/>
        <s v="5161-02"/>
        <s v="8323-03"/>
        <s v="6840-02"/>
        <s v="5487-01"/>
        <s v="5487-02"/>
        <s v="5595-01"/>
        <s v="2108-01"/>
        <s v="2108-02"/>
        <s v="2108-03"/>
        <s v="0685-04"/>
        <s v="0685-03"/>
        <s v="0685-01"/>
        <s v="0685-02"/>
        <s v="1705-02"/>
        <s v="1705-01"/>
        <s v="2555-01"/>
        <s v="2555-03"/>
        <s v="2555-04"/>
        <s v="2555-05"/>
        <s v="8999-01"/>
        <s v="9915-02"/>
        <s v="9915-01"/>
        <s v="9915-03"/>
        <s v="0645-01"/>
        <s v="6010-01"/>
        <s v="4860-01"/>
        <s v="6014-01"/>
        <s v="4865-01"/>
        <s v="2955-01"/>
        <s v="1455-01"/>
        <s v="5615-01"/>
        <s v="5615-03"/>
        <s v="5615-02"/>
        <s v="5615-04"/>
        <s v="5619-01"/>
        <s v="5619-02"/>
        <s v="5616-01"/>
        <s v="5616-03"/>
        <s v="5616-04"/>
        <s v="5616-02"/>
        <s v="5774-01"/>
        <s v="5774-02"/>
        <s v="5618-01"/>
        <s v="5618-03"/>
        <s v="5618-02"/>
        <s v="5618-04"/>
        <s v="5617-01"/>
        <s v="5617-03"/>
        <s v="5617-02"/>
        <s v="5617-04"/>
        <s v="7754-01"/>
        <s v="8821-01"/>
        <s v="8814-01"/>
        <s v="5115-01"/>
        <s v="5116-01"/>
        <s v="5015-01"/>
        <s v="5016-01"/>
        <s v="2401-01"/>
        <s v="2501-01"/>
        <s v="8832-02"/>
        <s v="8832-01"/>
        <s v="8843-02"/>
        <s v="8843-03"/>
        <s v="8843-01"/>
        <s v="5026-02"/>
        <s v="5003-01"/>
        <s v="5504-01"/>
        <s v="5504-02"/>
        <s v="5022-01"/>
        <s v="5026-01"/>
        <s v="5122-01"/>
        <s v="8998-01"/>
        <s v="5787-01"/>
        <s v="4302-01"/>
        <s v="7040-01"/>
        <s v="7041-01"/>
        <s v="7044-01"/>
        <s v="7045-01"/>
        <s v="7043-01"/>
        <m/>
      </sharedItems>
    </cacheField>
    <cacheField name="MODELO DO PRODUTO" numFmtId="0">
      <sharedItems containsBlank="1" count="63">
        <s v="BOOMBOX AWS-BBS-01-B BIVOLT"/>
        <s v="BOOMBOX AWS-BBS-01-BG BIVOLT"/>
        <s v="BOOMBOX AWS-BBS-01-GR BIVOLT"/>
        <s v="BOOMBOX BX-18 BIVOLT UP ORANGE"/>
        <s v="BOOMBOX BX-19 BIVOLT UP DYNAMIC"/>
        <s v="BOOMBOX BX-21ML BIVOLT ."/>
        <s v="BOOMBOX C/ LUZES AWS-BBS-01-LBL BIVOLT"/>
        <s v="BOOMBOX NBX-13 BIVOLT UP BLACK"/>
        <s v="CAIXA AMPLIFICADA CM-13 BIVOLT ."/>
        <s v="CAIXA AMPLIFICADA CM-14 BIVOLT ."/>
        <s v="CAIXA AMPLIFICADA CM-150 BIVOLT ."/>
        <s v="CAIXA AMPLIFICADA CM-16 BIVOLT ."/>
        <s v="CAIXA AMPLIFICADA CM-250 BIVOLT ."/>
        <s v="CAIXA AMPLIFICADA CM-400 BIVOLT ."/>
        <s v="CAIXA AMPLIFICADA CM-500 BIVOLT ."/>
        <s v="CAIXA AMPLIFICADA CM-500 BIVOLT."/>
        <s v="CAIXA AMPLIFICADA CM-550 BIVOLT ."/>
        <s v="CAIXA AMPLIFICADA CM-550-L BIVOLT ."/>
        <s v="CAIXA AMPLIFICADA CM-700 BIVOLT ."/>
        <s v="CAIXA AMPLIFICADA MCO-14 BIVOLT ."/>
        <s v="DVD D-14 BIVOLT GAME STAR II"/>
        <s v="DVD D-15 BIVOLT KARAOKE USB"/>
        <s v="DVD D-18 BIVOLT ."/>
        <s v="DVD D-20 BIVOLT KARAOKE"/>
        <s v="DVD D-21 BIVOLT ."/>
        <s v="DVD D-22 BIVOLT ."/>
        <s v="MICRO-ONDAS MO-01-21-B 127V/60HZ"/>
        <s v="MICRO-ONDAS MO-01-21-B 220V/60HZ ."/>
        <s v="MICRO-ONDAS MO-01-21-E 127V/60HZ"/>
        <s v="MICRO-ONDAS MO-01-21-E 220V/60HZ"/>
        <s v="MICRO-ONDAS MO-01-21-W 127V/60HZ ."/>
        <s v="MICRO-ONDAS MO-01-21-W 220V/60HZ"/>
        <s v="MICRO-ONDAS MO-02-34-B 127V/60HZ ."/>
        <s v="MICRO-ONDAS MO-02-34-B 220V/60HZ ."/>
        <s v="MICRO-ONDAS MO-02-34-E 127V/60HZ ."/>
        <s v="MICRO-ONDAS MO-02-34-E 220V/60HZ ."/>
        <s v="MICRO-ONDAS MO-02-34-W 127V/60HZ ."/>
        <s v="MICRO-ONDAS MO-02-34-W 220V/60HZ ."/>
        <s v="TABLET NTB-12G BIVOLT ."/>
        <s v="TABLET TB-14 BIVOLT"/>
        <s v="TABLET TB-18 BIVOLT KIDS"/>
        <s v="TORRE DE SOM AWS-T1W-01 BIVOLT BLUETOOTH"/>
        <s v="TORRE DE SOM AWS-T1W-02 BIVOLT BLUETOOTH"/>
        <s v="TORRE DE SOM AWS-T2W-01 BIVOLT BLUETOOTH"/>
        <s v="TORRE DE SOM AWS-T2W-02 BIVOLT BLUETOOTH"/>
        <s v="TORRE DE SOM TM-1200 BIV"/>
        <s v="TORRE DE SOM TM2200 BIV"/>
        <s v="TV 32 ANDROID BORD INF AWS-TV-32-BL-02-A"/>
        <s v="TV 43 ANDROID BORD INF AWS-TV-43-BL-02-A"/>
        <s v="TV 50 ANDROID BORD INF AWS-TV-50-BL-02-A"/>
        <s v="TV 50 SMART AWS-TV-50-BL-01"/>
        <s v="TV 55 ANDROID AWS-TV-55-BL-01"/>
        <s v="TV 65 GOOGLE INF AWS-TV-65-BL-01-G"/>
        <s v="TV 75 GOOGLE BORD INF AWS"/>
        <s v="CAIXA AMPLIFICADA CM-400-L BIVOLT ."/>
        <s v="CAIXA AMPLIFICADA CM-400-PL BIVOLT"/>
        <s v="TV 43 SMART AWS-TV-43-BL-01"/>
        <s v="CAIXA AMPLIFICADA CM-220-N BIV."/>
        <s v="CAIXA AMPLIFICADA CM-300-N BIV."/>
        <s v="CAIXA AMPLIFICADA CM-650-N BIV."/>
        <s v="CAIXA AMPLIFICADA CM-1000-N BIV."/>
        <s v="CAIXA AMPLIFICADA CM-500-N BIV."/>
        <m/>
      </sharedItems>
    </cacheField>
    <cacheField name="MODELO" numFmtId="0">
      <sharedItems containsBlank="1"/>
    </cacheField>
    <cacheField name="SOLICITADO" numFmtId="0">
      <sharedItems containsString="0" containsBlank="1" containsNumber="1" containsInteger="1" minValue="1" maxValue="4500"/>
    </cacheField>
    <cacheField name="ENVIADO" numFmtId="0">
      <sharedItems containsString="0" containsBlank="1" containsNumber="1" containsInteger="1" minValue="1" maxValue="4500"/>
    </cacheField>
    <cacheField name="PENDENTE" numFmtId="169">
      <sharedItems containsString="0" containsBlank="1" containsNumber="1" containsInteger="1" minValue="-4144" maxValue="502"/>
    </cacheField>
    <cacheField name="ENTREGA (COMPRAS)" numFmtId="14">
      <sharedItems containsDate="1" containsBlank="1" containsMixedTypes="1" minDate="2026-02-25T00:00:00" maxDate="2026-09-22T00:00:00" count="28">
        <d v="2026-03-19T00:00:00"/>
        <d v="2026-07-29T00:00:00"/>
        <s v="TBC"/>
        <m/>
        <d v="2026-05-11T00:00:00"/>
        <d v="2026-04-27T00:00:00"/>
        <d v="2026-06-25T00:00:00"/>
        <d v="2026-03-10T00:00:00"/>
        <d v="2026-08-06T00:00:00"/>
        <d v="2026-08-07T00:00:00"/>
        <d v="2026-04-15T00:00:00"/>
        <d v="2026-08-28T00:00:00"/>
        <d v="2026-08-18T00:00:00"/>
        <d v="2026-02-25T00:00:00"/>
        <d v="2026-04-14T00:00:00"/>
        <d v="2026-06-15T00:00:00"/>
        <d v="2026-04-17T00:00:00"/>
        <d v="2026-05-25T00:00:00"/>
        <d v="2026-08-31T00:00:00"/>
        <d v="2026-07-30T00:00:00"/>
        <d v="2026-09-21T00:00:00"/>
        <d v="2026-08-19T00:00:00"/>
        <d v="2026-07-08T00:00:00"/>
        <d v="2026-08-24T00:00:00"/>
        <d v="2026-08-27T00:00:00"/>
        <d v="2026-09-10T00:00:00"/>
        <d v="2026-08-12T00:00:00" u="1"/>
        <d v="2026-08-03T00:00:00" u="1"/>
      </sharedItems>
    </cacheField>
    <cacheField name="ENVIO (EXPEDIÇÃO)" numFmtId="14">
      <sharedItems containsDate="1" containsBlank="1" containsMixedTypes="1" minDate="2026-03-10T00:00:00" maxDate="2026-09-22T00:00:00"/>
    </cacheField>
    <cacheField name="STATUS" numFmtId="0">
      <sharedItems containsBlank="1" count="6">
        <s v="FINALIZADO"/>
        <s v="INATIVO"/>
        <s v="PENDENTE"/>
        <s v="ANDAMENTO"/>
        <s v="PROGRAMADO"/>
        <m/>
      </sharedItems>
    </cacheField>
    <cacheField name="Comentár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sica De Souza Monteiro" refreshedDate="46253.475993287037" createdVersion="8" refreshedVersion="8" minRefreshableVersion="3" recordCount="454" xr:uid="{08A58257-528E-4CF0-9E90-5729F908A76C}">
  <cacheSource type="worksheet">
    <worksheetSource ref="A1:U455" sheet="SOLICITACOES "/>
  </cacheSource>
  <cacheFields count="21">
    <cacheField name="SOLICITAÇÃO " numFmtId="0">
      <sharedItems containsString="0" containsBlank="1" containsNumber="1" containsInteger="1" minValue="1" maxValue="15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m/>
      </sharedItems>
    </cacheField>
    <cacheField name="DATA SOLICITAÇÃO" numFmtId="14">
      <sharedItems containsNonDate="0" containsDate="1" containsString="0" containsBlank="1" minDate="2026-02-12T00:00:00" maxDate="2026-08-12T00:00:00"/>
    </cacheField>
    <cacheField name="SOLICITANTE" numFmtId="0">
      <sharedItems containsBlank="1" count="10">
        <s v="VANESSA "/>
        <s v="TAIMON"/>
        <s v="MARCELA "/>
        <s v="MARCIO "/>
        <s v="JAQUELINE"/>
        <s v="HERISON"/>
        <s v="JOYCE"/>
        <s v="ANDERSON"/>
        <s v="VANESSA/ CD"/>
        <m/>
      </sharedItems>
    </cacheField>
    <cacheField name="DESTINO" numFmtId="0">
      <sharedItems containsBlank="1" count="4">
        <s v="BAHIA "/>
        <s v="JTD TRANSPORTES "/>
        <s v="CAJAMAR"/>
        <m/>
      </sharedItems>
    </cacheField>
    <cacheField name="CODIGO DA EMBALAGEM" numFmtId="0">
      <sharedItems containsBlank="1"/>
    </cacheField>
    <cacheField name="DESCRIÇAO DA EMBALAGEM" numFmtId="0">
      <sharedItems containsBlank="1"/>
    </cacheField>
    <cacheField name="TIPO" numFmtId="0">
      <sharedItems containsBlank="1" count="3">
        <s v="EMBALAGEM "/>
        <s v="INSUMO"/>
        <m/>
      </sharedItems>
    </cacheField>
    <cacheField name="TIPO DE EMBALAGEM" numFmtId="0">
      <sharedItems containsBlank="1"/>
    </cacheField>
    <cacheField name="CODIGO DO PRODUTO" numFmtId="0">
      <sharedItems containsBlank="1"/>
    </cacheField>
    <cacheField name="MODELO DO PRODUTO" numFmtId="0">
      <sharedItems containsBlank="1"/>
    </cacheField>
    <cacheField name="MODELO" numFmtId="0">
      <sharedItems containsBlank="1"/>
    </cacheField>
    <cacheField name="SOLICITADO" numFmtId="0">
      <sharedItems containsString="0" containsBlank="1" containsNumber="1" containsInteger="1" minValue="1" maxValue="4500"/>
    </cacheField>
    <cacheField name="ENVIADO" numFmtId="0">
      <sharedItems containsString="0" containsBlank="1" containsNumber="1" containsInteger="1" minValue="1" maxValue="4500"/>
    </cacheField>
    <cacheField name="PENDENTE" numFmtId="169">
      <sharedItems containsString="0" containsBlank="1" containsNumber="1" containsInteger="1" minValue="-4144" maxValue="502"/>
    </cacheField>
    <cacheField name="ENTREGA (COMPRAS)" numFmtId="14">
      <sharedItems containsDate="1" containsBlank="1" containsMixedTypes="1" minDate="2026-02-25T00:00:00" maxDate="2026-09-22T00:00:00"/>
    </cacheField>
    <cacheField name="ENVIO (EXPEDIÇÃO)" numFmtId="14">
      <sharedItems containsDate="1" containsBlank="1" containsMixedTypes="1" minDate="2026-03-10T00:00:00" maxDate="2026-09-22T00:00:00" count="38">
        <d v="2026-03-27T00:00:00"/>
        <d v="2026-03-26T00:00:00"/>
        <s v="TBC"/>
        <m/>
        <d v="2026-05-18T00:00:00"/>
        <d v="2026-05-26T00:00:00"/>
        <d v="2026-04-10T00:00:00"/>
        <d v="2026-07-01T00:00:00"/>
        <d v="2026-04-24T00:00:00"/>
        <d v="2026-03-25T00:00:00"/>
        <d v="2026-05-21T00:00:00"/>
        <d v="2026-08-11T00:00:00"/>
        <d v="2026-04-13T00:00:00"/>
        <d v="2026-09-04T00:00:00"/>
        <d v="2026-08-24T00:00:00"/>
        <d v="2026-03-10T00:00:00"/>
        <d v="2026-03-23T00:00:00"/>
        <d v="2026-05-25T00:00:00"/>
        <d v="2026-08-19T00:00:00"/>
        <d v="2026-06-19T00:00:00"/>
        <d v="2026-05-27T00:00:00"/>
        <d v="2026-08-13T00:00:00"/>
        <d v="2026-08-31T00:00:00"/>
        <d v="2026-09-21T00:00:00"/>
        <d v="2026-07-15T00:00:00"/>
        <d v="2026-08-27T00:00:00"/>
        <d v="2026-09-10T00:00:00"/>
        <d v="2026-09-08T00:00:00" u="1"/>
        <d v="2026-09-11T00:00:00" u="1"/>
        <d v="2026-08-17T00:00:00" u="1"/>
        <d v="2026-09-19T00:00:00" u="1"/>
        <d v="2026-08-26T00:00:00" u="1"/>
        <d v="2026-08-21T00:00:00" u="1"/>
        <d v="2026-08-14T00:00:00" u="1"/>
        <d v="2026-08-07T00:00:00" u="1"/>
        <d v="2026-08-12T00:00:00" u="1"/>
        <d v="2026-08-10T00:00:00" u="1"/>
        <d v="2026-08-18T00:00:00" u="1"/>
      </sharedItems>
    </cacheField>
    <cacheField name="STATUS" numFmtId="0">
      <sharedItems containsBlank="1" count="6">
        <s v="FINALIZADO"/>
        <s v="INATIVO"/>
        <s v="PENDENTE"/>
        <s v="ANDAMENTO"/>
        <m/>
        <s v="PROGRAMADO" u="1"/>
      </sharedItems>
    </cacheField>
    <cacheField name="Comentário" numFmtId="0">
      <sharedItems containsBlank="1"/>
    </cacheField>
    <cacheField name="NF" numFmtId="0">
      <sharedItems containsString="0" containsBlank="1" containsNumber="1" containsInteger="1" minValue="29521" maxValue="31245"/>
    </cacheField>
    <cacheField name="PLACA" numFmtId="0">
      <sharedItems containsBlank="1"/>
    </cacheField>
    <cacheField name="PREVISÃO DE ENTREGA" numFmtId="14">
      <sharedItems containsNonDate="0" containsDate="1" containsString="0" containsBlank="1" minDate="2026-03-30T00:00:00" maxDate="2026-09-0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n v="1"/>
    <d v="2026-02-12T00:00:00"/>
    <s v="VANESSA "/>
    <s v="BAHIA "/>
    <x v="0"/>
    <x v="0"/>
    <s v="EMBALAGEM "/>
    <s v="CAIXA INDIVIDUAL"/>
    <x v="0"/>
    <x v="0"/>
    <s v="BBS PRETO"/>
    <n v="1540"/>
    <n v="1540"/>
    <n v="0"/>
    <x v="0"/>
    <d v="2026-03-27T00:00:00"/>
    <x v="0"/>
    <m/>
  </r>
  <r>
    <n v="1"/>
    <d v="2026-02-12T00:00:00"/>
    <s v="VANESSA "/>
    <s v="BAHIA "/>
    <x v="1"/>
    <x v="1"/>
    <s v="EMBALAGEM "/>
    <s v="CAIXA INDIVIDUAL"/>
    <x v="1"/>
    <x v="1"/>
    <s v="BBS BG"/>
    <n v="57"/>
    <n v="57"/>
    <n v="0"/>
    <x v="0"/>
    <d v="2026-03-27T00:00:00"/>
    <x v="0"/>
    <m/>
  </r>
  <r>
    <n v="1"/>
    <d v="2026-02-12T00:00:00"/>
    <s v="VANESSA "/>
    <s v="BAHIA "/>
    <x v="2"/>
    <x v="2"/>
    <s v="EMBALAGEM "/>
    <s v="CAIXA INDIVIDUAL"/>
    <x v="2"/>
    <x v="2"/>
    <s v="BBS GR"/>
    <n v="5"/>
    <n v="5"/>
    <n v="0"/>
    <x v="0"/>
    <d v="2026-03-26T00:00:00"/>
    <x v="0"/>
    <m/>
  </r>
  <r>
    <n v="1"/>
    <d v="2026-02-12T00:00:00"/>
    <s v="VANESSA "/>
    <s v="BAHIA "/>
    <x v="3"/>
    <x v="3"/>
    <s v="EMBALAGEM "/>
    <s v="CAIXA INDIVIDUAL"/>
    <x v="3"/>
    <x v="3"/>
    <s v="BX 18"/>
    <n v="38"/>
    <m/>
    <n v="-38"/>
    <x v="1"/>
    <s v="TBC"/>
    <x v="1"/>
    <m/>
  </r>
  <r>
    <n v="1"/>
    <d v="2026-02-12T00:00:00"/>
    <s v="VANESSA "/>
    <s v="BAHIA "/>
    <x v="4"/>
    <x v="4"/>
    <s v="EMBALAGEM "/>
    <s v="CAIXA COLETIVA"/>
    <x v="3"/>
    <x v="3"/>
    <s v="BX 18"/>
    <n v="10"/>
    <m/>
    <n v="-10"/>
    <x v="1"/>
    <s v="TBC"/>
    <x v="1"/>
    <m/>
  </r>
  <r>
    <n v="1"/>
    <d v="2026-02-12T00:00:00"/>
    <s v="VANESSA "/>
    <s v="BAHIA "/>
    <x v="3"/>
    <x v="3"/>
    <s v="EMBALAGEM "/>
    <s v="CAIXA INDIVIDUAL"/>
    <x v="4"/>
    <x v="3"/>
    <s v="BX 18"/>
    <n v="4"/>
    <m/>
    <n v="-4"/>
    <x v="1"/>
    <s v="TBC"/>
    <x v="1"/>
    <m/>
  </r>
  <r>
    <n v="1"/>
    <d v="2026-02-12T00:00:00"/>
    <s v="VANESSA "/>
    <s v="BAHIA "/>
    <x v="4"/>
    <x v="4"/>
    <s v="EMBALAGEM "/>
    <s v="CAIXA COLETIVA"/>
    <x v="4"/>
    <x v="3"/>
    <s v="BX 18"/>
    <n v="1"/>
    <m/>
    <n v="-1"/>
    <x v="1"/>
    <s v="TBC"/>
    <x v="1"/>
    <m/>
  </r>
  <r>
    <n v="1"/>
    <d v="2026-02-12T00:00:00"/>
    <s v="VANESSA "/>
    <s v="BAHIA "/>
    <x v="4"/>
    <x v="4"/>
    <s v="EMBALAGEM "/>
    <s v="CAIXA COLETIVA"/>
    <x v="5"/>
    <x v="3"/>
    <s v="BX 18"/>
    <n v="5"/>
    <m/>
    <n v="-5"/>
    <x v="1"/>
    <s v="TBC"/>
    <x v="1"/>
    <m/>
  </r>
  <r>
    <n v="1"/>
    <d v="2026-02-12T00:00:00"/>
    <s v="VANESSA "/>
    <s v="BAHIA "/>
    <x v="5"/>
    <x v="5"/>
    <s v="EMBALAGEM "/>
    <s v="CAIXA INDIVIDUAL"/>
    <x v="6"/>
    <x v="4"/>
    <s v="BX 19"/>
    <n v="10"/>
    <m/>
    <n v="-10"/>
    <x v="1"/>
    <s v="TBC"/>
    <x v="1"/>
    <m/>
  </r>
  <r>
    <n v="1"/>
    <d v="2026-02-12T00:00:00"/>
    <s v="VANESSA "/>
    <s v="BAHIA "/>
    <x v="4"/>
    <x v="4"/>
    <s v="EMBALAGEM "/>
    <s v="CAIXA COLETIVA"/>
    <x v="6"/>
    <x v="4"/>
    <s v="BX 19"/>
    <n v="3"/>
    <m/>
    <n v="-3"/>
    <x v="1"/>
    <s v="TBC"/>
    <x v="1"/>
    <m/>
  </r>
  <r>
    <n v="1"/>
    <d v="2026-02-12T00:00:00"/>
    <s v="VANESSA "/>
    <s v="BAHIA "/>
    <x v="5"/>
    <x v="5"/>
    <s v="EMBALAGEM "/>
    <s v="CAIXA INDIVIDUAL"/>
    <x v="7"/>
    <x v="4"/>
    <s v="BX 19"/>
    <n v="2"/>
    <m/>
    <n v="-2"/>
    <x v="1"/>
    <s v="TBC"/>
    <x v="1"/>
    <m/>
  </r>
  <r>
    <n v="1"/>
    <d v="2026-02-12T00:00:00"/>
    <s v="VANESSA "/>
    <s v="BAHIA "/>
    <x v="4"/>
    <x v="4"/>
    <s v="EMBALAGEM "/>
    <s v="CAIXA COLETIVA"/>
    <x v="7"/>
    <x v="4"/>
    <s v="BX 19"/>
    <n v="2"/>
    <m/>
    <n v="-2"/>
    <x v="1"/>
    <s v="TBC"/>
    <x v="1"/>
    <m/>
  </r>
  <r>
    <n v="1"/>
    <d v="2026-02-12T00:00:00"/>
    <s v="VANESSA "/>
    <s v="BAHIA "/>
    <x v="6"/>
    <x v="6"/>
    <s v="EMBALAGEM "/>
    <s v="CAIXA INDIVIDUAL"/>
    <x v="8"/>
    <x v="5"/>
    <s v="BX 21"/>
    <n v="73"/>
    <m/>
    <n v="-73"/>
    <x v="2"/>
    <s v="TBC"/>
    <x v="1"/>
    <m/>
  </r>
  <r>
    <n v="1"/>
    <d v="2026-02-12T00:00:00"/>
    <s v="VANESSA "/>
    <s v="BAHIA "/>
    <x v="4"/>
    <x v="4"/>
    <s v="EMBALAGEM "/>
    <s v="CAIXA COLETIVA"/>
    <x v="8"/>
    <x v="5"/>
    <s v="BX 21"/>
    <n v="21"/>
    <m/>
    <n v="-21"/>
    <x v="1"/>
    <s v="TBC"/>
    <x v="1"/>
    <m/>
  </r>
  <r>
    <n v="1"/>
    <d v="2026-02-12T00:00:00"/>
    <s v="VANESSA "/>
    <s v="BAHIA "/>
    <x v="6"/>
    <x v="6"/>
    <s v="EMBALAGEM "/>
    <s v="CAIXA INDIVIDUAL"/>
    <x v="9"/>
    <x v="5"/>
    <s v="BX 21"/>
    <n v="37"/>
    <m/>
    <n v="-37"/>
    <x v="2"/>
    <s v="TBC"/>
    <x v="1"/>
    <m/>
  </r>
  <r>
    <n v="1"/>
    <d v="2026-02-12T00:00:00"/>
    <s v="VANESSA "/>
    <s v="BAHIA "/>
    <x v="4"/>
    <x v="4"/>
    <s v="EMBALAGEM "/>
    <s v="CAIXA COLETIVA"/>
    <x v="9"/>
    <x v="5"/>
    <s v="BX 21"/>
    <n v="10"/>
    <m/>
    <n v="-10"/>
    <x v="1"/>
    <s v="TBC"/>
    <x v="1"/>
    <m/>
  </r>
  <r>
    <n v="1"/>
    <d v="2026-02-12T00:00:00"/>
    <s v="VANESSA "/>
    <s v="BAHIA "/>
    <x v="7"/>
    <x v="7"/>
    <s v="EMBALAGEM "/>
    <s v="CAIXA INDIVIDUAL"/>
    <x v="10"/>
    <x v="6"/>
    <s v="BBS LBL"/>
    <n v="118"/>
    <n v="118"/>
    <n v="0"/>
    <x v="0"/>
    <d v="2026-03-26T00:00:00"/>
    <x v="0"/>
    <m/>
  </r>
  <r>
    <n v="1"/>
    <d v="2026-02-12T00:00:00"/>
    <s v="VANESSA "/>
    <s v="BAHIA "/>
    <x v="8"/>
    <x v="8"/>
    <s v="EMBALAGEM "/>
    <s v="CAIXA INDIVIDUAL"/>
    <x v="11"/>
    <x v="7"/>
    <s v="BX 13"/>
    <n v="172"/>
    <m/>
    <n v="-172"/>
    <x v="2"/>
    <s v="TBC"/>
    <x v="1"/>
    <m/>
  </r>
  <r>
    <n v="1"/>
    <d v="2026-02-12T00:00:00"/>
    <s v="VANESSA "/>
    <s v="BAHIA "/>
    <x v="8"/>
    <x v="8"/>
    <s v="EMBALAGEM "/>
    <s v="CAIXA INDIVIDUAL"/>
    <x v="11"/>
    <x v="7"/>
    <s v="BX 13"/>
    <n v="46"/>
    <m/>
    <n v="-46"/>
    <x v="2"/>
    <s v="TBC"/>
    <x v="1"/>
    <m/>
  </r>
  <r>
    <n v="1"/>
    <d v="2026-02-12T00:00:00"/>
    <s v="VANESSA "/>
    <s v="BAHIA "/>
    <x v="8"/>
    <x v="8"/>
    <s v="EMBALAGEM "/>
    <s v="CAIXA INDIVIDUAL"/>
    <x v="12"/>
    <x v="7"/>
    <s v="BX 13"/>
    <n v="36"/>
    <m/>
    <n v="-36"/>
    <x v="2"/>
    <s v="TBC"/>
    <x v="1"/>
    <m/>
  </r>
  <r>
    <n v="1"/>
    <d v="2026-02-12T00:00:00"/>
    <s v="VANESSA "/>
    <s v="BAHIA "/>
    <x v="4"/>
    <x v="4"/>
    <s v="EMBALAGEM "/>
    <s v="CAIXA COLETIVA"/>
    <x v="12"/>
    <x v="7"/>
    <s v="BX 13"/>
    <n v="12"/>
    <m/>
    <n v="-12"/>
    <x v="1"/>
    <s v="TBC"/>
    <x v="1"/>
    <m/>
  </r>
  <r>
    <n v="1"/>
    <d v="2026-02-12T00:00:00"/>
    <s v="VANESSA "/>
    <s v="BAHIA "/>
    <x v="9"/>
    <x v="9"/>
    <s v="EMBALAGEM "/>
    <s v="CAIXA INDIVIDUAL"/>
    <x v="13"/>
    <x v="8"/>
    <s v="CM 13"/>
    <n v="1"/>
    <m/>
    <n v="-1"/>
    <x v="2"/>
    <s v="TBC"/>
    <x v="1"/>
    <m/>
  </r>
  <r>
    <n v="1"/>
    <d v="2026-02-12T00:00:00"/>
    <s v="VANESSA "/>
    <s v="BAHIA "/>
    <x v="10"/>
    <x v="10"/>
    <s v="EMBALAGEM "/>
    <s v="CAIXA INDIVIDUAL"/>
    <x v="14"/>
    <x v="9"/>
    <s v="CM 14"/>
    <n v="1"/>
    <m/>
    <n v="-1"/>
    <x v="2"/>
    <s v="TBC"/>
    <x v="1"/>
    <m/>
  </r>
  <r>
    <n v="1"/>
    <d v="2026-02-12T00:00:00"/>
    <s v="VANESSA "/>
    <s v="BAHIA "/>
    <x v="11"/>
    <x v="11"/>
    <s v="EMBALAGEM "/>
    <s v="CAIXA COLETIVA"/>
    <x v="15"/>
    <x v="10"/>
    <s v="CM150"/>
    <n v="200"/>
    <m/>
    <n v="-200"/>
    <x v="3"/>
    <m/>
    <x v="2"/>
    <s v="Solicitar compra por e-mail"/>
  </r>
  <r>
    <n v="1"/>
    <d v="2026-02-12T00:00:00"/>
    <s v="VANESSA "/>
    <s v="BAHIA "/>
    <x v="12"/>
    <x v="12"/>
    <s v="EMBALAGEM "/>
    <s v="CAIXA INDIVIDUAL"/>
    <x v="16"/>
    <x v="10"/>
    <s v="CM150"/>
    <n v="580"/>
    <n v="580"/>
    <n v="0"/>
    <x v="4"/>
    <d v="2026-05-18T00:00:00"/>
    <x v="0"/>
    <m/>
  </r>
  <r>
    <n v="1"/>
    <d v="2026-02-12T00:00:00"/>
    <s v="VANESSA "/>
    <s v="BAHIA "/>
    <x v="11"/>
    <x v="11"/>
    <s v="EMBALAGEM "/>
    <s v="CAIXA COLETIVA"/>
    <x v="16"/>
    <x v="10"/>
    <s v="CM150"/>
    <n v="406"/>
    <m/>
    <n v="-406"/>
    <x v="3"/>
    <m/>
    <x v="2"/>
    <s v="Solicitar compra por e-mail"/>
  </r>
  <r>
    <n v="1"/>
    <d v="2026-02-12T00:00:00"/>
    <s v="VANESSA "/>
    <s v="BAHIA "/>
    <x v="13"/>
    <x v="13"/>
    <s v="EMBALAGEM "/>
    <s v="CAIXA INDIVIDUAL"/>
    <x v="17"/>
    <x v="11"/>
    <s v="CM 16"/>
    <n v="1"/>
    <m/>
    <n v="-1"/>
    <x v="2"/>
    <s v="TBC"/>
    <x v="1"/>
    <m/>
  </r>
  <r>
    <n v="1"/>
    <d v="2026-02-12T00:00:00"/>
    <s v="VANESSA "/>
    <s v="BAHIA "/>
    <x v="14"/>
    <x v="14"/>
    <s v="EMBALAGEM "/>
    <s v="CAIXA INDIVIDUAL"/>
    <x v="18"/>
    <x v="12"/>
    <s v="CM 250"/>
    <n v="108"/>
    <n v="108"/>
    <n v="0"/>
    <x v="4"/>
    <d v="2026-05-26T00:00:00"/>
    <x v="0"/>
    <m/>
  </r>
  <r>
    <n v="1"/>
    <d v="2026-02-12T00:00:00"/>
    <s v="VANESSA "/>
    <s v="BAHIA "/>
    <x v="15"/>
    <x v="15"/>
    <s v="EMBALAGEM "/>
    <s v="CAIXA COLETIVA"/>
    <x v="18"/>
    <x v="12"/>
    <s v="CM 250"/>
    <n v="30"/>
    <n v="30"/>
    <n v="0"/>
    <x v="0"/>
    <d v="2026-04-10T00:00:00"/>
    <x v="0"/>
    <m/>
  </r>
  <r>
    <n v="1"/>
    <d v="2026-02-12T00:00:00"/>
    <s v="VANESSA "/>
    <s v="BAHIA "/>
    <x v="14"/>
    <x v="14"/>
    <s v="EMBALAGEM "/>
    <s v="CAIXA INDIVIDUAL"/>
    <x v="19"/>
    <x v="12"/>
    <s v="CM 250"/>
    <n v="19"/>
    <n v="19"/>
    <n v="0"/>
    <x v="4"/>
    <d v="2026-05-26T00:00:00"/>
    <x v="0"/>
    <m/>
  </r>
  <r>
    <n v="1"/>
    <d v="2026-02-12T00:00:00"/>
    <s v="VANESSA "/>
    <s v="BAHIA "/>
    <x v="15"/>
    <x v="15"/>
    <s v="EMBALAGEM "/>
    <s v="CAIXA COLETIVA"/>
    <x v="19"/>
    <x v="12"/>
    <s v="CM 250"/>
    <n v="8"/>
    <n v="8"/>
    <n v="0"/>
    <x v="0"/>
    <d v="2026-04-10T00:00:00"/>
    <x v="0"/>
    <m/>
  </r>
  <r>
    <n v="1"/>
    <d v="2026-02-12T00:00:00"/>
    <s v="VANESSA "/>
    <s v="BAHIA "/>
    <x v="15"/>
    <x v="15"/>
    <s v="EMBALAGEM "/>
    <s v="CAIXA COLETIVA"/>
    <x v="20"/>
    <x v="12"/>
    <s v="CM 250"/>
    <n v="236"/>
    <n v="236"/>
    <n v="0"/>
    <x v="0"/>
    <d v="2026-04-10T00:00:00"/>
    <x v="0"/>
    <m/>
  </r>
  <r>
    <n v="1"/>
    <d v="2026-02-12T00:00:00"/>
    <s v="VANESSA "/>
    <s v="BAHIA "/>
    <x v="16"/>
    <x v="16"/>
    <s v="EMBALAGEM "/>
    <s v="CAIXA INDIVIDUAL"/>
    <x v="21"/>
    <x v="13"/>
    <s v="CM400"/>
    <n v="2360"/>
    <n v="2360"/>
    <n v="0"/>
    <x v="5"/>
    <d v="2026-03-26T00:00:00"/>
    <x v="0"/>
    <m/>
  </r>
  <r>
    <n v="1"/>
    <d v="2026-02-12T00:00:00"/>
    <s v="VANESSA "/>
    <s v="BAHIA "/>
    <x v="16"/>
    <x v="16"/>
    <s v="EMBALAGEM "/>
    <s v="CAIXA INDIVIDUAL"/>
    <x v="22"/>
    <x v="13"/>
    <s v="CM400"/>
    <n v="485"/>
    <n v="485"/>
    <n v="0"/>
    <x v="5"/>
    <d v="2026-03-26T00:00:00"/>
    <x v="0"/>
    <m/>
  </r>
  <r>
    <n v="1"/>
    <d v="2026-02-12T00:00:00"/>
    <s v="VANESSA "/>
    <s v="BAHIA "/>
    <x v="17"/>
    <x v="17"/>
    <s v="EMBALAGEM "/>
    <s v="CAIXA INDIVIDUAL"/>
    <x v="23"/>
    <x v="13"/>
    <s v="CM400"/>
    <n v="34"/>
    <n v="34"/>
    <n v="0"/>
    <x v="4"/>
    <d v="2026-05-26T00:00:00"/>
    <x v="0"/>
    <m/>
  </r>
  <r>
    <n v="1"/>
    <d v="2026-02-12T00:00:00"/>
    <s v="VANESSA "/>
    <s v="BAHIA "/>
    <x v="18"/>
    <x v="16"/>
    <s v="EMBALAGEM "/>
    <s v="CAIXA INDIVIDUAL"/>
    <x v="24"/>
    <x v="13"/>
    <s v="CM400"/>
    <n v="185"/>
    <n v="185"/>
    <n v="0"/>
    <x v="4"/>
    <d v="2026-05-26T00:00:00"/>
    <x v="0"/>
    <m/>
  </r>
  <r>
    <n v="1"/>
    <d v="2026-02-12T00:00:00"/>
    <s v="VANESSA "/>
    <s v="BAHIA "/>
    <x v="17"/>
    <x v="17"/>
    <s v="EMBALAGEM "/>
    <s v="CAIXA INDIVIDUAL"/>
    <x v="23"/>
    <x v="13"/>
    <s v="CM400"/>
    <n v="170"/>
    <n v="170"/>
    <n v="0"/>
    <x v="4"/>
    <d v="2026-05-26T00:00:00"/>
    <x v="0"/>
    <m/>
  </r>
  <r>
    <n v="1"/>
    <d v="2026-02-12T00:00:00"/>
    <s v="VANESSA "/>
    <s v="BAHIA "/>
    <x v="19"/>
    <x v="18"/>
    <s v="EMBALAGEM "/>
    <s v="CAIXA INDIVIDUAL"/>
    <x v="25"/>
    <x v="14"/>
    <s v="CM 500"/>
    <n v="15"/>
    <m/>
    <n v="-15"/>
    <x v="2"/>
    <s v="TBC"/>
    <x v="1"/>
    <m/>
  </r>
  <r>
    <n v="1"/>
    <d v="2026-02-12T00:00:00"/>
    <s v="VANESSA "/>
    <s v="BAHIA "/>
    <x v="20"/>
    <x v="19"/>
    <s v="EMBALAGEM "/>
    <s v="CAIXA INDIVIDUAL"/>
    <x v="26"/>
    <x v="15"/>
    <s v="CM 500"/>
    <n v="22"/>
    <m/>
    <n v="-22"/>
    <x v="2"/>
    <s v="TBC"/>
    <x v="1"/>
    <m/>
  </r>
  <r>
    <n v="1"/>
    <d v="2026-02-12T00:00:00"/>
    <s v="VANESSA "/>
    <s v="BAHIA "/>
    <x v="21"/>
    <x v="20"/>
    <s v="EMBALAGEM "/>
    <s v="CAIXA INDIVIDUAL"/>
    <x v="27"/>
    <x v="16"/>
    <s v="CM 550"/>
    <n v="310"/>
    <n v="310"/>
    <n v="0"/>
    <x v="6"/>
    <d v="2026-07-01T00:00:00"/>
    <x v="0"/>
    <m/>
  </r>
  <r>
    <n v="1"/>
    <d v="2026-02-12T00:00:00"/>
    <s v="VANESSA "/>
    <s v="BAHIA "/>
    <x v="21"/>
    <x v="20"/>
    <s v="EMBALAGEM "/>
    <s v="CAIXA INDIVIDUAL"/>
    <x v="28"/>
    <x v="16"/>
    <s v="CM 550"/>
    <n v="262"/>
    <n v="262"/>
    <n v="0"/>
    <x v="6"/>
    <d v="2026-07-01T00:00:00"/>
    <x v="0"/>
    <m/>
  </r>
  <r>
    <n v="1"/>
    <d v="2026-02-12T00:00:00"/>
    <s v="VANESSA "/>
    <s v="BAHIA "/>
    <x v="21"/>
    <x v="20"/>
    <s v="EMBALAGEM "/>
    <s v="CAIXA INDIVIDUAL"/>
    <x v="29"/>
    <x v="16"/>
    <s v="CM 550"/>
    <n v="19"/>
    <n v="19"/>
    <n v="0"/>
    <x v="6"/>
    <d v="2026-07-01T00:00:00"/>
    <x v="0"/>
    <m/>
  </r>
  <r>
    <n v="1"/>
    <d v="2026-02-12T00:00:00"/>
    <s v="VANESSA "/>
    <s v="BAHIA "/>
    <x v="22"/>
    <x v="20"/>
    <s v="EMBALAGEM "/>
    <s v="CAIXA INDIVIDUAL"/>
    <x v="30"/>
    <x v="16"/>
    <s v="CM 550"/>
    <n v="330"/>
    <n v="330"/>
    <n v="0"/>
    <x v="0"/>
    <d v="2026-04-10T00:00:00"/>
    <x v="0"/>
    <m/>
  </r>
  <r>
    <n v="1"/>
    <d v="2026-02-12T00:00:00"/>
    <s v="VANESSA "/>
    <s v="BAHIA "/>
    <x v="22"/>
    <x v="20"/>
    <s v="EMBALAGEM "/>
    <s v="CAIXA INDIVIDUAL"/>
    <x v="30"/>
    <x v="16"/>
    <s v="CM 550"/>
    <n v="10"/>
    <n v="10"/>
    <n v="0"/>
    <x v="0"/>
    <d v="2026-04-24T00:00:00"/>
    <x v="0"/>
    <m/>
  </r>
  <r>
    <n v="1"/>
    <d v="2026-02-12T00:00:00"/>
    <s v="VANESSA "/>
    <s v="BAHIA "/>
    <x v="21"/>
    <x v="20"/>
    <s v="EMBALAGEM "/>
    <s v="CAIXA INDIVIDUAL"/>
    <x v="30"/>
    <x v="16"/>
    <s v="CM 550"/>
    <n v="545"/>
    <n v="545"/>
    <n v="0"/>
    <x v="6"/>
    <d v="2026-07-01T00:00:00"/>
    <x v="0"/>
    <m/>
  </r>
  <r>
    <n v="1"/>
    <d v="2026-02-12T00:00:00"/>
    <s v="VANESSA "/>
    <s v="BAHIA "/>
    <x v="23"/>
    <x v="21"/>
    <s v="EMBALAGEM "/>
    <s v="CAIXA INDIVIDUAL"/>
    <x v="31"/>
    <x v="17"/>
    <s v="CM 550L"/>
    <n v="215"/>
    <n v="215"/>
    <n v="0"/>
    <x v="4"/>
    <d v="2026-05-18T00:00:00"/>
    <x v="0"/>
    <m/>
  </r>
  <r>
    <n v="1"/>
    <d v="2026-02-12T00:00:00"/>
    <s v="VANESSA "/>
    <s v="BAHIA "/>
    <x v="24"/>
    <x v="22"/>
    <s v="INSUMO"/>
    <s v="ROTULO"/>
    <x v="32"/>
    <x v="18"/>
    <s v="CM 700"/>
    <n v="28"/>
    <m/>
    <n v="-28"/>
    <x v="3"/>
    <m/>
    <x v="2"/>
    <s v="Solicitar compra por e-mail"/>
  </r>
  <r>
    <n v="1"/>
    <d v="2026-02-12T00:00:00"/>
    <s v="VANESSA "/>
    <s v="BAHIA "/>
    <x v="25"/>
    <x v="23"/>
    <s v="EMBALAGEM "/>
    <s v="CAIXA INDIVIDUAL"/>
    <x v="33"/>
    <x v="18"/>
    <s v="CM 700"/>
    <n v="28"/>
    <m/>
    <n v="-28"/>
    <x v="3"/>
    <m/>
    <x v="2"/>
    <s v="Solicitar compra por e-mail"/>
  </r>
  <r>
    <n v="1"/>
    <d v="2026-02-12T00:00:00"/>
    <s v="VANESSA "/>
    <s v="BAHIA "/>
    <x v="25"/>
    <x v="23"/>
    <s v="EMBALAGEM "/>
    <s v="CAIXA INDIVIDUAL"/>
    <x v="32"/>
    <x v="18"/>
    <s v="CM 700"/>
    <n v="40"/>
    <m/>
    <n v="-40"/>
    <x v="3"/>
    <m/>
    <x v="2"/>
    <s v="Solicitar compra por e-mail"/>
  </r>
  <r>
    <n v="1"/>
    <d v="2026-02-12T00:00:00"/>
    <s v="VANESSA "/>
    <s v="BAHIA "/>
    <x v="24"/>
    <x v="22"/>
    <s v="INSUMO"/>
    <s v="ROTULO"/>
    <x v="32"/>
    <x v="18"/>
    <s v="CM 700"/>
    <n v="589"/>
    <m/>
    <n v="-589"/>
    <x v="3"/>
    <m/>
    <x v="2"/>
    <s v="Solicitar compra por e-mail"/>
  </r>
  <r>
    <n v="1"/>
    <d v="2026-02-12T00:00:00"/>
    <s v="VANESSA "/>
    <s v="BAHIA "/>
    <x v="25"/>
    <x v="23"/>
    <s v="EMBALAGEM "/>
    <s v="CAIXA INDIVIDUAL"/>
    <x v="34"/>
    <x v="18"/>
    <s v="CM 700"/>
    <n v="589"/>
    <m/>
    <n v="-589"/>
    <x v="3"/>
    <m/>
    <x v="2"/>
    <s v="Solicitar compra por e-mail"/>
  </r>
  <r>
    <n v="1"/>
    <d v="2026-02-12T00:00:00"/>
    <s v="VANESSA "/>
    <s v="BAHIA "/>
    <x v="26"/>
    <x v="24"/>
    <s v="EMBALAGEM "/>
    <s v="CAIXA INDIVIDUAL"/>
    <x v="35"/>
    <x v="19"/>
    <s v="MCO 14"/>
    <n v="15"/>
    <m/>
    <n v="-15"/>
    <x v="2"/>
    <s v="TBC"/>
    <x v="1"/>
    <m/>
  </r>
  <r>
    <n v="1"/>
    <d v="2026-02-12T00:00:00"/>
    <s v="VANESSA "/>
    <s v="BAHIA "/>
    <x v="26"/>
    <x v="24"/>
    <s v="EMBALAGEM "/>
    <s v="CAIXA INDIVIDUAL"/>
    <x v="35"/>
    <x v="19"/>
    <s v="MCO 14"/>
    <n v="4"/>
    <m/>
    <n v="-4"/>
    <x v="2"/>
    <s v="TBC"/>
    <x v="1"/>
    <m/>
  </r>
  <r>
    <n v="1"/>
    <d v="2026-02-12T00:00:00"/>
    <s v="VANESSA "/>
    <s v="BAHIA "/>
    <x v="27"/>
    <x v="25"/>
    <s v="EMBALAGEM "/>
    <s v="CAIXA INDIVIDUAL"/>
    <x v="36"/>
    <x v="20"/>
    <s v="DVD"/>
    <n v="1"/>
    <m/>
    <n v="-1"/>
    <x v="2"/>
    <s v="TBC"/>
    <x v="1"/>
    <m/>
  </r>
  <r>
    <n v="1"/>
    <d v="2026-02-12T00:00:00"/>
    <s v="VANESSA "/>
    <s v="BAHIA "/>
    <x v="28"/>
    <x v="26"/>
    <s v="EMBALAGEM "/>
    <s v="CAIXA COLETIVA"/>
    <x v="36"/>
    <x v="20"/>
    <s v="DVD"/>
    <n v="1"/>
    <m/>
    <n v="-1"/>
    <x v="2"/>
    <s v="TBC"/>
    <x v="1"/>
    <m/>
  </r>
  <r>
    <n v="1"/>
    <d v="2026-02-12T00:00:00"/>
    <s v="VANESSA "/>
    <s v="BAHIA "/>
    <x v="29"/>
    <x v="27"/>
    <s v="EMBALAGEM "/>
    <s v="CAIXA INDIVIDUAL"/>
    <x v="37"/>
    <x v="21"/>
    <s v="DVD"/>
    <n v="15"/>
    <m/>
    <n v="-15"/>
    <x v="2"/>
    <s v="TBC"/>
    <x v="1"/>
    <m/>
  </r>
  <r>
    <n v="1"/>
    <d v="2026-02-12T00:00:00"/>
    <s v="VANESSA "/>
    <s v="BAHIA "/>
    <x v="30"/>
    <x v="28"/>
    <s v="EMBALAGEM "/>
    <s v="CAIXA COLETIVA"/>
    <x v="37"/>
    <x v="21"/>
    <s v="DVD"/>
    <n v="3"/>
    <m/>
    <n v="-3"/>
    <x v="2"/>
    <s v="TBC"/>
    <x v="1"/>
    <m/>
  </r>
  <r>
    <n v="1"/>
    <d v="2026-02-12T00:00:00"/>
    <s v="VANESSA "/>
    <s v="BAHIA "/>
    <x v="31"/>
    <x v="29"/>
    <s v="EMBALAGEM "/>
    <s v="CAIXA INDIVIDUAL"/>
    <x v="38"/>
    <x v="22"/>
    <s v="DVD"/>
    <n v="3"/>
    <m/>
    <n v="-3"/>
    <x v="2"/>
    <s v="TBC"/>
    <x v="1"/>
    <m/>
  </r>
  <r>
    <n v="1"/>
    <d v="2026-02-12T00:00:00"/>
    <s v="VANESSA "/>
    <s v="BAHIA "/>
    <x v="30"/>
    <x v="28"/>
    <s v="EMBALAGEM "/>
    <s v="CAIXA COLETIVA"/>
    <x v="38"/>
    <x v="22"/>
    <s v="DVD"/>
    <n v="1"/>
    <m/>
    <n v="-1"/>
    <x v="2"/>
    <s v="TBC"/>
    <x v="1"/>
    <m/>
  </r>
  <r>
    <n v="1"/>
    <d v="2026-02-12T00:00:00"/>
    <s v="VANESSA "/>
    <s v="BAHIA "/>
    <x v="32"/>
    <x v="30"/>
    <s v="EMBALAGEM "/>
    <s v="CAIXA INDIVIDUAL"/>
    <x v="39"/>
    <x v="23"/>
    <s v="DVD"/>
    <n v="263"/>
    <m/>
    <n v="-263"/>
    <x v="2"/>
    <s v="TBC"/>
    <x v="1"/>
    <m/>
  </r>
  <r>
    <n v="1"/>
    <d v="2026-02-12T00:00:00"/>
    <s v="VANESSA "/>
    <s v="BAHIA "/>
    <x v="33"/>
    <x v="31"/>
    <s v="EMBALAGEM "/>
    <s v="CAIXA COLETIVA"/>
    <x v="39"/>
    <x v="23"/>
    <s v="DVD"/>
    <n v="67"/>
    <m/>
    <n v="-67"/>
    <x v="2"/>
    <s v="TBC"/>
    <x v="1"/>
    <m/>
  </r>
  <r>
    <n v="1"/>
    <d v="2026-02-12T00:00:00"/>
    <s v="VANESSA "/>
    <s v="BAHIA "/>
    <x v="34"/>
    <x v="32"/>
    <s v="EMBALAGEM "/>
    <s v="CAIXA INDIVIDUAL"/>
    <x v="40"/>
    <x v="24"/>
    <s v="DVD"/>
    <n v="33"/>
    <m/>
    <n v="-33"/>
    <x v="2"/>
    <s v="TBC"/>
    <x v="1"/>
    <m/>
  </r>
  <r>
    <n v="1"/>
    <d v="2026-02-12T00:00:00"/>
    <s v="VANESSA "/>
    <s v="BAHIA "/>
    <x v="35"/>
    <x v="26"/>
    <s v="EMBALAGEM "/>
    <s v="CAIXA COLETIVA"/>
    <x v="40"/>
    <x v="24"/>
    <s v="DVD"/>
    <n v="8"/>
    <m/>
    <n v="-8"/>
    <x v="2"/>
    <s v="TBC"/>
    <x v="1"/>
    <m/>
  </r>
  <r>
    <n v="1"/>
    <d v="2026-02-12T00:00:00"/>
    <s v="VANESSA "/>
    <s v="BAHIA "/>
    <x v="36"/>
    <x v="33"/>
    <s v="EMBALAGEM "/>
    <s v="CAIXA INDIVIDUAL"/>
    <x v="41"/>
    <x v="25"/>
    <s v="DVD"/>
    <n v="31"/>
    <m/>
    <n v="-31"/>
    <x v="2"/>
    <s v="TBC"/>
    <x v="1"/>
    <m/>
  </r>
  <r>
    <n v="1"/>
    <d v="2026-02-12T00:00:00"/>
    <s v="VANESSA "/>
    <s v="BAHIA "/>
    <x v="37"/>
    <x v="34"/>
    <s v="EMBALAGEM "/>
    <s v="CAIXA COLETIVA"/>
    <x v="41"/>
    <x v="25"/>
    <s v="DVD"/>
    <n v="6"/>
    <m/>
    <n v="-6"/>
    <x v="2"/>
    <s v="TBC"/>
    <x v="1"/>
    <m/>
  </r>
  <r>
    <n v="1"/>
    <d v="2026-02-12T00:00:00"/>
    <s v="VANESSA "/>
    <s v="BAHIA "/>
    <x v="38"/>
    <x v="35"/>
    <s v="INSUMO"/>
    <s v="ROTULO"/>
    <x v="42"/>
    <x v="26"/>
    <s v="MO 21L"/>
    <n v="80"/>
    <n v="80"/>
    <n v="0"/>
    <x v="7"/>
    <d v="2026-03-25T00:00:00"/>
    <x v="0"/>
    <m/>
  </r>
  <r>
    <n v="1"/>
    <d v="2026-02-12T00:00:00"/>
    <s v="VANESSA "/>
    <s v="BAHIA "/>
    <x v="39"/>
    <x v="36"/>
    <s v="INSUMO"/>
    <s v="CALÇO"/>
    <x v="42"/>
    <x v="26"/>
    <s v="MO 21L"/>
    <n v="80"/>
    <n v="80"/>
    <n v="0"/>
    <x v="4"/>
    <d v="2026-05-21T00:00:00"/>
    <x v="0"/>
    <m/>
  </r>
  <r>
    <n v="1"/>
    <d v="2026-02-12T00:00:00"/>
    <s v="VANESSA "/>
    <s v="BAHIA "/>
    <x v="40"/>
    <x v="37"/>
    <s v="INSUMO"/>
    <s v="CALÇO"/>
    <x v="42"/>
    <x v="26"/>
    <s v="MO 21L"/>
    <n v="80"/>
    <n v="80"/>
    <n v="0"/>
    <x v="4"/>
    <d v="2026-05-21T00:00:00"/>
    <x v="0"/>
    <m/>
  </r>
  <r>
    <n v="1"/>
    <d v="2026-02-12T00:00:00"/>
    <s v="VANESSA "/>
    <s v="BAHIA "/>
    <x v="41"/>
    <x v="35"/>
    <s v="INSUMO"/>
    <s v="ROTULO"/>
    <x v="43"/>
    <x v="26"/>
    <s v="MO 21L"/>
    <n v="457"/>
    <n v="457"/>
    <n v="0"/>
    <x v="7"/>
    <d v="2026-03-25T00:00:00"/>
    <x v="0"/>
    <m/>
  </r>
  <r>
    <n v="1"/>
    <d v="2026-02-12T00:00:00"/>
    <s v="VANESSA "/>
    <s v="BAHIA "/>
    <x v="40"/>
    <x v="37"/>
    <s v="INSUMO"/>
    <s v="CALÇO"/>
    <x v="43"/>
    <x v="26"/>
    <s v="MO 21L"/>
    <n v="457"/>
    <n v="457"/>
    <n v="0"/>
    <x v="4"/>
    <d v="2026-05-21T00:00:00"/>
    <x v="0"/>
    <m/>
  </r>
  <r>
    <n v="1"/>
    <d v="2026-02-12T00:00:00"/>
    <s v="VANESSA "/>
    <s v="BAHIA "/>
    <x v="39"/>
    <x v="36"/>
    <s v="INSUMO"/>
    <s v="CALÇO"/>
    <x v="43"/>
    <x v="26"/>
    <s v="MO 21L"/>
    <n v="457"/>
    <n v="457"/>
    <n v="0"/>
    <x v="4"/>
    <d v="2026-05-21T00:00:00"/>
    <x v="0"/>
    <m/>
  </r>
  <r>
    <n v="1"/>
    <d v="2026-02-12T00:00:00"/>
    <s v="VANESSA "/>
    <s v="BAHIA "/>
    <x v="38"/>
    <x v="35"/>
    <s v="INSUMO"/>
    <s v="ROTULO"/>
    <x v="44"/>
    <x v="27"/>
    <s v="MO 21L"/>
    <n v="229"/>
    <n v="229"/>
    <n v="0"/>
    <x v="7"/>
    <d v="2026-03-25T00:00:00"/>
    <x v="0"/>
    <m/>
  </r>
  <r>
    <n v="1"/>
    <d v="2026-02-12T00:00:00"/>
    <s v="VANESSA "/>
    <s v="BAHIA "/>
    <x v="39"/>
    <x v="36"/>
    <s v="INSUMO"/>
    <s v="CALÇO"/>
    <x v="44"/>
    <x v="27"/>
    <s v="MO 21L"/>
    <n v="229"/>
    <n v="229"/>
    <n v="0"/>
    <x v="4"/>
    <d v="2026-05-21T00:00:00"/>
    <x v="0"/>
    <m/>
  </r>
  <r>
    <n v="1"/>
    <d v="2026-02-12T00:00:00"/>
    <s v="VANESSA "/>
    <s v="BAHIA "/>
    <x v="40"/>
    <x v="37"/>
    <s v="INSUMO"/>
    <s v="CALÇO"/>
    <x v="44"/>
    <x v="27"/>
    <s v="MO 21L"/>
    <n v="229"/>
    <n v="229"/>
    <n v="0"/>
    <x v="4"/>
    <d v="2026-05-21T00:00:00"/>
    <x v="0"/>
    <m/>
  </r>
  <r>
    <n v="1"/>
    <d v="2026-02-12T00:00:00"/>
    <s v="VANESSA "/>
    <s v="BAHIA "/>
    <x v="41"/>
    <x v="35"/>
    <s v="INSUMO"/>
    <s v="ROTULO"/>
    <x v="45"/>
    <x v="27"/>
    <s v="MO 21L"/>
    <n v="98"/>
    <n v="98"/>
    <n v="0"/>
    <x v="7"/>
    <d v="2026-03-25T00:00:00"/>
    <x v="0"/>
    <m/>
  </r>
  <r>
    <n v="1"/>
    <d v="2026-02-12T00:00:00"/>
    <s v="VANESSA "/>
    <s v="BAHIA "/>
    <x v="40"/>
    <x v="37"/>
    <s v="INSUMO"/>
    <s v="CALÇO"/>
    <x v="45"/>
    <x v="27"/>
    <s v="MO 21L"/>
    <n v="98"/>
    <n v="98"/>
    <n v="0"/>
    <x v="4"/>
    <d v="2026-05-21T00:00:00"/>
    <x v="0"/>
    <m/>
  </r>
  <r>
    <n v="1"/>
    <d v="2026-02-12T00:00:00"/>
    <s v="VANESSA "/>
    <s v="BAHIA "/>
    <x v="39"/>
    <x v="36"/>
    <s v="INSUMO"/>
    <s v="CALÇO"/>
    <x v="45"/>
    <x v="27"/>
    <s v="MO 21L"/>
    <n v="98"/>
    <n v="98"/>
    <n v="0"/>
    <x v="4"/>
    <d v="2026-05-21T00:00:00"/>
    <x v="0"/>
    <m/>
  </r>
  <r>
    <n v="1"/>
    <d v="2026-02-12T00:00:00"/>
    <s v="VANESSA "/>
    <s v="BAHIA "/>
    <x v="42"/>
    <x v="38"/>
    <s v="INSUMO"/>
    <s v="ROTULO"/>
    <x v="46"/>
    <x v="28"/>
    <s v="MO 21L"/>
    <n v="24"/>
    <n v="24"/>
    <n v="0"/>
    <x v="7"/>
    <d v="2026-03-25T00:00:00"/>
    <x v="0"/>
    <m/>
  </r>
  <r>
    <n v="1"/>
    <d v="2026-02-12T00:00:00"/>
    <s v="VANESSA "/>
    <s v="BAHIA "/>
    <x v="39"/>
    <x v="36"/>
    <s v="INSUMO"/>
    <s v="CALÇO"/>
    <x v="46"/>
    <x v="28"/>
    <s v="MO 21L"/>
    <n v="24"/>
    <n v="24"/>
    <n v="0"/>
    <x v="4"/>
    <d v="2026-05-21T00:00:00"/>
    <x v="0"/>
    <m/>
  </r>
  <r>
    <n v="1"/>
    <d v="2026-02-12T00:00:00"/>
    <s v="VANESSA "/>
    <s v="BAHIA "/>
    <x v="40"/>
    <x v="37"/>
    <s v="INSUMO"/>
    <s v="CALÇO"/>
    <x v="46"/>
    <x v="28"/>
    <s v="MO 21L"/>
    <n v="24"/>
    <n v="24"/>
    <n v="0"/>
    <x v="4"/>
    <d v="2026-05-21T00:00:00"/>
    <x v="0"/>
    <m/>
  </r>
  <r>
    <n v="1"/>
    <d v="2026-02-12T00:00:00"/>
    <s v="VANESSA "/>
    <s v="BAHIA "/>
    <x v="42"/>
    <x v="38"/>
    <s v="INSUMO"/>
    <s v="ROTULO"/>
    <x v="47"/>
    <x v="29"/>
    <s v="MO 21L"/>
    <n v="72"/>
    <n v="72"/>
    <n v="0"/>
    <x v="7"/>
    <d v="2026-03-25T00:00:00"/>
    <x v="0"/>
    <m/>
  </r>
  <r>
    <n v="1"/>
    <d v="2026-02-12T00:00:00"/>
    <s v="VANESSA "/>
    <s v="BAHIA "/>
    <x v="39"/>
    <x v="36"/>
    <s v="INSUMO"/>
    <s v="CALÇO"/>
    <x v="47"/>
    <x v="29"/>
    <s v="MO 21L"/>
    <n v="72"/>
    <n v="72"/>
    <n v="0"/>
    <x v="4"/>
    <d v="2026-05-21T00:00:00"/>
    <x v="0"/>
    <m/>
  </r>
  <r>
    <n v="1"/>
    <d v="2026-02-12T00:00:00"/>
    <s v="VANESSA "/>
    <s v="BAHIA "/>
    <x v="40"/>
    <x v="37"/>
    <s v="INSUMO"/>
    <s v="CALÇO"/>
    <x v="47"/>
    <x v="29"/>
    <s v="MO 21L"/>
    <n v="72"/>
    <n v="72"/>
    <n v="0"/>
    <x v="4"/>
    <d v="2026-05-21T00:00:00"/>
    <x v="0"/>
    <m/>
  </r>
  <r>
    <n v="1"/>
    <d v="2026-02-12T00:00:00"/>
    <s v="VANESSA "/>
    <s v="BAHIA "/>
    <x v="43"/>
    <x v="39"/>
    <s v="INSUMO"/>
    <s v="ROTULO"/>
    <x v="48"/>
    <x v="30"/>
    <s v="MO 21L"/>
    <n v="87"/>
    <n v="87"/>
    <n v="0"/>
    <x v="7"/>
    <d v="2026-03-25T00:00:00"/>
    <x v="0"/>
    <m/>
  </r>
  <r>
    <n v="1"/>
    <d v="2026-02-12T00:00:00"/>
    <s v="VANESSA "/>
    <s v="BAHIA "/>
    <x v="39"/>
    <x v="36"/>
    <s v="INSUMO"/>
    <s v="CALÇO"/>
    <x v="48"/>
    <x v="30"/>
    <s v="MO 21L"/>
    <n v="87"/>
    <n v="87"/>
    <n v="0"/>
    <x v="4"/>
    <d v="2026-05-21T00:00:00"/>
    <x v="0"/>
    <m/>
  </r>
  <r>
    <n v="1"/>
    <d v="2026-02-12T00:00:00"/>
    <s v="VANESSA "/>
    <s v="BAHIA "/>
    <x v="40"/>
    <x v="37"/>
    <s v="INSUMO"/>
    <s v="CALÇO"/>
    <x v="48"/>
    <x v="30"/>
    <s v="MO 21L"/>
    <n v="87"/>
    <n v="87"/>
    <n v="0"/>
    <x v="4"/>
    <d v="2026-05-21T00:00:00"/>
    <x v="0"/>
    <m/>
  </r>
  <r>
    <n v="1"/>
    <d v="2026-02-12T00:00:00"/>
    <s v="VANESSA "/>
    <s v="BAHIA "/>
    <x v="44"/>
    <x v="40"/>
    <s v="INSUMO"/>
    <s v="ROTULO"/>
    <x v="49"/>
    <x v="30"/>
    <s v="MO 21L"/>
    <n v="232"/>
    <n v="232"/>
    <n v="0"/>
    <x v="7"/>
    <d v="2026-03-25T00:00:00"/>
    <x v="0"/>
    <m/>
  </r>
  <r>
    <n v="1"/>
    <d v="2026-02-12T00:00:00"/>
    <s v="VANESSA "/>
    <s v="BAHIA "/>
    <x v="39"/>
    <x v="36"/>
    <s v="INSUMO"/>
    <s v="CALÇO"/>
    <x v="49"/>
    <x v="30"/>
    <s v="MO 21L"/>
    <n v="232"/>
    <n v="232"/>
    <n v="0"/>
    <x v="4"/>
    <d v="2026-05-21T00:00:00"/>
    <x v="0"/>
    <m/>
  </r>
  <r>
    <n v="1"/>
    <d v="2026-02-12T00:00:00"/>
    <s v="VANESSA "/>
    <s v="BAHIA "/>
    <x v="40"/>
    <x v="37"/>
    <s v="INSUMO"/>
    <s v="CALÇO"/>
    <x v="49"/>
    <x v="30"/>
    <s v="MO 21L"/>
    <n v="232"/>
    <n v="232"/>
    <n v="0"/>
    <x v="4"/>
    <d v="2026-05-21T00:00:00"/>
    <x v="0"/>
    <m/>
  </r>
  <r>
    <n v="1"/>
    <d v="2026-02-12T00:00:00"/>
    <s v="VANESSA "/>
    <s v="BAHIA "/>
    <x v="44"/>
    <x v="40"/>
    <s v="INSUMO"/>
    <s v="ROTULO"/>
    <x v="50"/>
    <x v="31"/>
    <s v="MO 21L"/>
    <n v="22"/>
    <n v="22"/>
    <n v="0"/>
    <x v="7"/>
    <d v="2026-03-25T00:00:00"/>
    <x v="0"/>
    <m/>
  </r>
  <r>
    <n v="1"/>
    <d v="2026-02-12T00:00:00"/>
    <s v="VANESSA "/>
    <s v="BAHIA "/>
    <x v="39"/>
    <x v="36"/>
    <s v="INSUMO"/>
    <s v="CALÇO"/>
    <x v="50"/>
    <x v="31"/>
    <s v="MO 21L"/>
    <n v="22"/>
    <n v="22"/>
    <n v="0"/>
    <x v="4"/>
    <d v="2026-05-21T00:00:00"/>
    <x v="0"/>
    <m/>
  </r>
  <r>
    <n v="1"/>
    <d v="2026-02-12T00:00:00"/>
    <s v="VANESSA "/>
    <s v="BAHIA "/>
    <x v="40"/>
    <x v="37"/>
    <s v="INSUMO"/>
    <s v="CALÇO"/>
    <x v="50"/>
    <x v="31"/>
    <s v="MO 21L"/>
    <n v="22"/>
    <n v="22"/>
    <n v="0"/>
    <x v="4"/>
    <d v="2026-05-21T00:00:00"/>
    <x v="0"/>
    <m/>
  </r>
  <r>
    <n v="1"/>
    <d v="2026-02-12T00:00:00"/>
    <s v="VANESSA "/>
    <s v="BAHIA "/>
    <x v="43"/>
    <x v="39"/>
    <s v="INSUMO"/>
    <s v="ROTULO"/>
    <x v="51"/>
    <x v="31"/>
    <s v="MO 21L"/>
    <n v="513"/>
    <n v="513"/>
    <n v="0"/>
    <x v="7"/>
    <d v="2026-03-25T00:00:00"/>
    <x v="0"/>
    <m/>
  </r>
  <r>
    <n v="1"/>
    <d v="2026-02-12T00:00:00"/>
    <s v="VANESSA "/>
    <s v="BAHIA "/>
    <x v="39"/>
    <x v="36"/>
    <s v="INSUMO"/>
    <s v="CALÇO"/>
    <x v="51"/>
    <x v="31"/>
    <s v="MO 21L"/>
    <n v="139"/>
    <n v="139"/>
    <n v="0"/>
    <x v="4"/>
    <d v="2026-05-21T00:00:00"/>
    <x v="0"/>
    <m/>
  </r>
  <r>
    <n v="1"/>
    <d v="2026-02-12T00:00:00"/>
    <s v="VANESSA "/>
    <s v="BAHIA "/>
    <x v="39"/>
    <x v="36"/>
    <s v="INSUMO"/>
    <s v="CALÇO"/>
    <x v="51"/>
    <x v="31"/>
    <s v="MO 21L"/>
    <n v="374"/>
    <n v="374"/>
    <n v="0"/>
    <x v="4"/>
    <d v="2026-05-26T00:00:00"/>
    <x v="0"/>
    <m/>
  </r>
  <r>
    <n v="1"/>
    <d v="2026-02-12T00:00:00"/>
    <s v="VANESSA "/>
    <s v="BAHIA "/>
    <x v="40"/>
    <x v="37"/>
    <s v="INSUMO"/>
    <s v="CALÇO"/>
    <x v="51"/>
    <x v="31"/>
    <s v="MO 21L"/>
    <n v="139"/>
    <n v="139"/>
    <n v="0"/>
    <x v="4"/>
    <d v="2026-05-21T00:00:00"/>
    <x v="0"/>
    <m/>
  </r>
  <r>
    <n v="1"/>
    <d v="2026-02-12T00:00:00"/>
    <s v="VANESSA "/>
    <s v="BAHIA "/>
    <x v="40"/>
    <x v="37"/>
    <s v="INSUMO"/>
    <s v="CALÇO"/>
    <x v="51"/>
    <x v="31"/>
    <s v="MO 21L"/>
    <n v="374"/>
    <n v="374"/>
    <n v="0"/>
    <x v="4"/>
    <d v="2026-05-26T00:00:00"/>
    <x v="0"/>
    <m/>
  </r>
  <r>
    <n v="1"/>
    <d v="2026-02-12T00:00:00"/>
    <s v="VANESSA "/>
    <s v="BAHIA "/>
    <x v="45"/>
    <x v="41"/>
    <s v="INSUMO"/>
    <s v="ROTULO"/>
    <x v="52"/>
    <x v="32"/>
    <s v="MO 34L"/>
    <n v="34"/>
    <n v="34"/>
    <n v="0"/>
    <x v="7"/>
    <d v="2026-03-25T00:00:00"/>
    <x v="0"/>
    <m/>
  </r>
  <r>
    <n v="1"/>
    <d v="2026-02-12T00:00:00"/>
    <s v="VANESSA "/>
    <s v="BAHIA "/>
    <x v="46"/>
    <x v="42"/>
    <s v="INSUMO"/>
    <s v="CALÇO"/>
    <x v="52"/>
    <x v="32"/>
    <s v="MO 34L"/>
    <n v="34"/>
    <n v="34"/>
    <n v="0"/>
    <x v="8"/>
    <d v="2026-08-11T00:00:00"/>
    <x v="0"/>
    <s v="NF 01"/>
  </r>
  <r>
    <n v="1"/>
    <d v="2026-02-12T00:00:00"/>
    <s v="VANESSA "/>
    <s v="BAHIA "/>
    <x v="47"/>
    <x v="43"/>
    <s v="INSUMO"/>
    <s v="CALÇO"/>
    <x v="52"/>
    <x v="32"/>
    <s v="MO 34L"/>
    <n v="34"/>
    <n v="34"/>
    <n v="0"/>
    <x v="8"/>
    <d v="2026-08-11T00:00:00"/>
    <x v="0"/>
    <s v="NF 01"/>
  </r>
  <r>
    <n v="1"/>
    <d v="2026-02-12T00:00:00"/>
    <s v="VANESSA "/>
    <s v="BAHIA "/>
    <x v="45"/>
    <x v="41"/>
    <s v="INSUMO"/>
    <s v="ROTULO"/>
    <x v="53"/>
    <x v="33"/>
    <s v="MO 34L"/>
    <n v="148"/>
    <n v="148"/>
    <n v="0"/>
    <x v="7"/>
    <d v="2026-03-25T00:00:00"/>
    <x v="0"/>
    <m/>
  </r>
  <r>
    <n v="1"/>
    <d v="2026-02-12T00:00:00"/>
    <s v="VANESSA "/>
    <s v="BAHIA "/>
    <x v="46"/>
    <x v="42"/>
    <s v="INSUMO"/>
    <s v="CALÇO"/>
    <x v="53"/>
    <x v="33"/>
    <s v="MO 34L"/>
    <n v="148"/>
    <n v="148"/>
    <n v="0"/>
    <x v="8"/>
    <d v="2026-08-11T00:00:00"/>
    <x v="0"/>
    <s v="NF 01"/>
  </r>
  <r>
    <n v="1"/>
    <d v="2026-02-12T00:00:00"/>
    <s v="VANESSA "/>
    <s v="BAHIA "/>
    <x v="47"/>
    <x v="43"/>
    <s v="INSUMO"/>
    <s v="CALÇO"/>
    <x v="53"/>
    <x v="33"/>
    <s v="MO 34L"/>
    <n v="148"/>
    <n v="148"/>
    <n v="0"/>
    <x v="8"/>
    <d v="2026-08-11T00:00:00"/>
    <x v="0"/>
    <s v="NF 01"/>
  </r>
  <r>
    <n v="1"/>
    <d v="2026-02-12T00:00:00"/>
    <s v="VANESSA "/>
    <s v="BAHIA "/>
    <x v="48"/>
    <x v="44"/>
    <s v="INSUMO"/>
    <s v="ROTULO"/>
    <x v="54"/>
    <x v="34"/>
    <s v="MO 34L"/>
    <n v="142"/>
    <m/>
    <n v="-142"/>
    <x v="3"/>
    <m/>
    <x v="2"/>
    <s v="Sem saldo, não pode usar o modelo atual; Fazer pedido por e-mail"/>
  </r>
  <r>
    <n v="1"/>
    <d v="2026-02-12T00:00:00"/>
    <s v="VANESSA "/>
    <s v="BAHIA "/>
    <x v="46"/>
    <x v="42"/>
    <s v="INSUMO"/>
    <s v="CALÇO"/>
    <x v="54"/>
    <x v="34"/>
    <s v="MO 34L"/>
    <n v="142"/>
    <n v="142"/>
    <n v="0"/>
    <x v="8"/>
    <d v="2026-08-11T00:00:00"/>
    <x v="0"/>
    <s v="NF 01"/>
  </r>
  <r>
    <n v="1"/>
    <d v="2026-02-12T00:00:00"/>
    <s v="VANESSA "/>
    <s v="BAHIA "/>
    <x v="47"/>
    <x v="43"/>
    <s v="INSUMO"/>
    <s v="CALÇO"/>
    <x v="54"/>
    <x v="34"/>
    <s v="MO 34L"/>
    <n v="142"/>
    <n v="142"/>
    <n v="0"/>
    <x v="8"/>
    <d v="2026-08-11T00:00:00"/>
    <x v="0"/>
    <s v="NF 01"/>
  </r>
  <r>
    <n v="1"/>
    <d v="2026-02-12T00:00:00"/>
    <s v="VANESSA "/>
    <s v="BAHIA "/>
    <x v="49"/>
    <x v="41"/>
    <s v="INSUMO"/>
    <s v="ROTULO"/>
    <x v="55"/>
    <x v="34"/>
    <s v="MO 34L"/>
    <n v="296"/>
    <n v="296"/>
    <n v="0"/>
    <x v="7"/>
    <d v="2026-03-25T00:00:00"/>
    <x v="0"/>
    <m/>
  </r>
  <r>
    <n v="1"/>
    <d v="2026-02-12T00:00:00"/>
    <s v="VANESSA "/>
    <s v="BAHIA "/>
    <x v="46"/>
    <x v="42"/>
    <s v="INSUMO"/>
    <s v="CALÇO"/>
    <x v="55"/>
    <x v="34"/>
    <s v="MO 34L"/>
    <n v="296"/>
    <n v="296"/>
    <n v="0"/>
    <x v="8"/>
    <d v="2026-08-11T00:00:00"/>
    <x v="0"/>
    <s v="NF 01"/>
  </r>
  <r>
    <n v="1"/>
    <d v="2026-02-12T00:00:00"/>
    <s v="VANESSA "/>
    <s v="BAHIA "/>
    <x v="47"/>
    <x v="43"/>
    <s v="INSUMO"/>
    <s v="CALÇO"/>
    <x v="55"/>
    <x v="34"/>
    <s v="MO 34L"/>
    <n v="296"/>
    <n v="296"/>
    <n v="0"/>
    <x v="8"/>
    <d v="2026-08-11T00:00:00"/>
    <x v="0"/>
    <s v="NF 01"/>
  </r>
  <r>
    <n v="1"/>
    <d v="2026-02-12T00:00:00"/>
    <s v="VANESSA "/>
    <s v="BAHIA "/>
    <x v="48"/>
    <x v="44"/>
    <s v="INSUMO"/>
    <s v="ROTULO"/>
    <x v="56"/>
    <x v="35"/>
    <s v="MO 34L"/>
    <n v="34"/>
    <m/>
    <n v="-34"/>
    <x v="3"/>
    <m/>
    <x v="2"/>
    <s v="Sem saldo, não pode usar o modelo atual; Fazer pedido por e-mail"/>
  </r>
  <r>
    <n v="1"/>
    <d v="2026-02-12T00:00:00"/>
    <s v="VANESSA "/>
    <s v="BAHIA "/>
    <x v="46"/>
    <x v="42"/>
    <s v="INSUMO"/>
    <s v="CALÇO"/>
    <x v="56"/>
    <x v="35"/>
    <s v="MO 34L"/>
    <n v="34"/>
    <n v="34"/>
    <n v="0"/>
    <x v="8"/>
    <d v="2026-08-11T00:00:00"/>
    <x v="0"/>
    <s v="NF 01"/>
  </r>
  <r>
    <n v="1"/>
    <d v="2026-02-12T00:00:00"/>
    <s v="VANESSA "/>
    <s v="BAHIA "/>
    <x v="47"/>
    <x v="43"/>
    <s v="INSUMO"/>
    <s v="CALÇO"/>
    <x v="56"/>
    <x v="35"/>
    <s v="MO 34L"/>
    <n v="34"/>
    <n v="34"/>
    <n v="0"/>
    <x v="8"/>
    <d v="2026-08-11T00:00:00"/>
    <x v="0"/>
    <s v="NF 01"/>
  </r>
  <r>
    <n v="1"/>
    <d v="2026-02-12T00:00:00"/>
    <s v="VANESSA "/>
    <s v="BAHIA "/>
    <x v="49"/>
    <x v="41"/>
    <s v="INSUMO"/>
    <s v="ROTULO"/>
    <x v="57"/>
    <x v="35"/>
    <s v="MO 34L"/>
    <n v="544"/>
    <n v="544"/>
    <n v="0"/>
    <x v="7"/>
    <d v="2026-03-25T00:00:00"/>
    <x v="0"/>
    <m/>
  </r>
  <r>
    <n v="1"/>
    <d v="2026-02-12T00:00:00"/>
    <s v="VANESSA "/>
    <s v="BAHIA "/>
    <x v="46"/>
    <x v="42"/>
    <s v="INSUMO"/>
    <s v="CALÇO"/>
    <x v="57"/>
    <x v="35"/>
    <s v="MO 34L"/>
    <n v="544"/>
    <n v="544"/>
    <n v="0"/>
    <x v="9"/>
    <d v="2026-08-11T00:00:00"/>
    <x v="0"/>
    <s v="NF 02"/>
  </r>
  <r>
    <n v="1"/>
    <d v="2026-02-12T00:00:00"/>
    <s v="VANESSA "/>
    <s v="BAHIA "/>
    <x v="47"/>
    <x v="43"/>
    <s v="INSUMO"/>
    <s v="CALÇO"/>
    <x v="57"/>
    <x v="35"/>
    <s v="MO 34L"/>
    <n v="544"/>
    <n v="544"/>
    <n v="0"/>
    <x v="9"/>
    <d v="2026-08-11T00:00:00"/>
    <x v="0"/>
    <s v="NF 02"/>
  </r>
  <r>
    <n v="1"/>
    <d v="2026-02-12T00:00:00"/>
    <s v="VANESSA "/>
    <s v="BAHIA "/>
    <x v="50"/>
    <x v="45"/>
    <s v="INSUMO"/>
    <s v="ROTULO"/>
    <x v="58"/>
    <x v="36"/>
    <s v="MO 34L"/>
    <n v="44"/>
    <n v="44"/>
    <n v="0"/>
    <x v="7"/>
    <d v="2026-03-25T00:00:00"/>
    <x v="0"/>
    <m/>
  </r>
  <r>
    <n v="1"/>
    <d v="2026-02-12T00:00:00"/>
    <s v="VANESSA "/>
    <s v="BAHIA "/>
    <x v="46"/>
    <x v="42"/>
    <s v="INSUMO"/>
    <s v="CALÇO"/>
    <x v="58"/>
    <x v="36"/>
    <s v="MO 34L"/>
    <n v="14"/>
    <n v="14"/>
    <n v="0"/>
    <x v="9"/>
    <d v="2026-08-11T00:00:00"/>
    <x v="0"/>
    <s v="NF 02"/>
  </r>
  <r>
    <n v="1"/>
    <d v="2026-02-12T00:00:00"/>
    <s v="VANESSA "/>
    <s v="BAHIA "/>
    <x v="47"/>
    <x v="43"/>
    <s v="INSUMO"/>
    <s v="CALÇO"/>
    <x v="58"/>
    <x v="36"/>
    <s v="MO 34L"/>
    <n v="14"/>
    <n v="14"/>
    <n v="0"/>
    <x v="9"/>
    <d v="2026-08-11T00:00:00"/>
    <x v="0"/>
    <s v="NF 02"/>
  </r>
  <r>
    <n v="1"/>
    <d v="2026-02-12T00:00:00"/>
    <s v="VANESSA "/>
    <s v="BAHIA "/>
    <x v="51"/>
    <x v="45"/>
    <s v="INSUMO"/>
    <s v="ROTULO"/>
    <x v="59"/>
    <x v="36"/>
    <s v="MO 34L"/>
    <n v="269"/>
    <n v="269"/>
    <n v="0"/>
    <x v="7"/>
    <d v="2026-03-25T00:00:00"/>
    <x v="0"/>
    <m/>
  </r>
  <r>
    <n v="1"/>
    <d v="2026-02-12T00:00:00"/>
    <s v="VANESSA "/>
    <s v="BAHIA "/>
    <x v="46"/>
    <x v="42"/>
    <s v="INSUMO"/>
    <s v="CALÇO"/>
    <x v="58"/>
    <x v="36"/>
    <s v="MO 34L"/>
    <n v="30"/>
    <n v="30"/>
    <n v="0"/>
    <x v="9"/>
    <d v="2026-08-11T00:00:00"/>
    <x v="0"/>
    <s v="NF 03"/>
  </r>
  <r>
    <n v="1"/>
    <d v="2026-02-12T00:00:00"/>
    <s v="VANESSA "/>
    <s v="BAHIA "/>
    <x v="47"/>
    <x v="43"/>
    <s v="INSUMO"/>
    <s v="CALÇO"/>
    <x v="58"/>
    <x v="36"/>
    <s v="MO 34L"/>
    <n v="30"/>
    <n v="30"/>
    <n v="0"/>
    <x v="9"/>
    <d v="2026-08-11T00:00:00"/>
    <x v="0"/>
    <s v="NF 03"/>
  </r>
  <r>
    <n v="1"/>
    <d v="2026-02-12T00:00:00"/>
    <s v="VANESSA "/>
    <s v="BAHIA "/>
    <x v="46"/>
    <x v="42"/>
    <s v="INSUMO"/>
    <s v="CALÇO"/>
    <x v="59"/>
    <x v="36"/>
    <s v="MO 34L"/>
    <n v="269"/>
    <n v="269"/>
    <n v="0"/>
    <x v="9"/>
    <d v="2026-08-11T00:00:00"/>
    <x v="0"/>
    <s v="NF 03"/>
  </r>
  <r>
    <n v="1"/>
    <d v="2026-02-12T00:00:00"/>
    <s v="VANESSA "/>
    <s v="BAHIA "/>
    <x v="47"/>
    <x v="43"/>
    <s v="INSUMO"/>
    <s v="CALÇO"/>
    <x v="59"/>
    <x v="36"/>
    <s v="MO 34L"/>
    <n v="269"/>
    <n v="269"/>
    <n v="0"/>
    <x v="9"/>
    <d v="2026-08-11T00:00:00"/>
    <x v="0"/>
    <s v="NF 03"/>
  </r>
  <r>
    <n v="1"/>
    <d v="2026-02-12T00:00:00"/>
    <s v="VANESSA "/>
    <s v="BAHIA "/>
    <x v="50"/>
    <x v="45"/>
    <s v="INSUMO"/>
    <s v="ROTULO"/>
    <x v="60"/>
    <x v="37"/>
    <s v="MO 34L"/>
    <n v="49"/>
    <n v="49"/>
    <n v="0"/>
    <x v="7"/>
    <d v="2026-03-25T00:00:00"/>
    <x v="0"/>
    <m/>
  </r>
  <r>
    <n v="1"/>
    <d v="2026-02-12T00:00:00"/>
    <s v="VANESSA "/>
    <s v="BAHIA "/>
    <x v="46"/>
    <x v="42"/>
    <s v="INSUMO"/>
    <s v="CALÇO"/>
    <x v="60"/>
    <x v="37"/>
    <s v="MO 34L"/>
    <n v="44"/>
    <n v="44"/>
    <n v="0"/>
    <x v="9"/>
    <d v="2026-08-11T00:00:00"/>
    <x v="0"/>
    <s v="NF 03"/>
  </r>
  <r>
    <n v="1"/>
    <d v="2026-02-12T00:00:00"/>
    <s v="VANESSA "/>
    <s v="BAHIA "/>
    <x v="47"/>
    <x v="43"/>
    <s v="INSUMO"/>
    <s v="CALÇO"/>
    <x v="60"/>
    <x v="37"/>
    <s v="MO 34L"/>
    <n v="44"/>
    <n v="44"/>
    <n v="0"/>
    <x v="9"/>
    <d v="2026-08-11T00:00:00"/>
    <x v="0"/>
    <s v="NF 03"/>
  </r>
  <r>
    <n v="1"/>
    <d v="2026-02-12T00:00:00"/>
    <s v="VANESSA "/>
    <s v="BAHIA "/>
    <x v="51"/>
    <x v="45"/>
    <s v="INSUMO"/>
    <s v="ROTULO"/>
    <x v="61"/>
    <x v="37"/>
    <s v="MO 34L"/>
    <n v="234"/>
    <n v="234"/>
    <n v="0"/>
    <x v="7"/>
    <d v="2026-03-25T00:00:00"/>
    <x v="0"/>
    <m/>
  </r>
  <r>
    <n v="1"/>
    <d v="2026-02-12T00:00:00"/>
    <s v="VANESSA "/>
    <s v="BAHIA "/>
    <x v="46"/>
    <x v="42"/>
    <s v="INSUMO"/>
    <s v="CALÇO"/>
    <x v="61"/>
    <x v="37"/>
    <s v="MO 34L"/>
    <n v="234"/>
    <n v="234"/>
    <n v="0"/>
    <x v="9"/>
    <d v="2026-08-11T00:00:00"/>
    <x v="0"/>
    <s v="NF 03"/>
  </r>
  <r>
    <n v="1"/>
    <d v="2026-02-12T00:00:00"/>
    <s v="VANESSA "/>
    <s v="BAHIA "/>
    <x v="47"/>
    <x v="43"/>
    <s v="INSUMO"/>
    <s v="CALÇO"/>
    <x v="61"/>
    <x v="37"/>
    <s v="MO 34L"/>
    <n v="234"/>
    <n v="234"/>
    <n v="0"/>
    <x v="9"/>
    <d v="2026-08-11T00:00:00"/>
    <x v="0"/>
    <s v="NF 03"/>
  </r>
  <r>
    <n v="1"/>
    <d v="2026-02-12T00:00:00"/>
    <s v="VANESSA "/>
    <s v="BAHIA "/>
    <x v="52"/>
    <x v="46"/>
    <s v="EMBALAGEM "/>
    <s v="CAIXA INDIVIDUAL"/>
    <x v="62"/>
    <x v="38"/>
    <s v="TABLET"/>
    <n v="1"/>
    <m/>
    <n v="-1"/>
    <x v="2"/>
    <s v="TBC"/>
    <x v="1"/>
    <m/>
  </r>
  <r>
    <n v="1"/>
    <d v="2026-02-12T00:00:00"/>
    <s v="VANESSA "/>
    <s v="BAHIA "/>
    <x v="53"/>
    <x v="47"/>
    <s v="EMBALAGEM "/>
    <s v="CAIXA INDIVIDUAL"/>
    <x v="63"/>
    <x v="39"/>
    <s v="TABLET"/>
    <n v="2"/>
    <m/>
    <n v="-2"/>
    <x v="2"/>
    <s v="TBC"/>
    <x v="1"/>
    <m/>
  </r>
  <r>
    <n v="1"/>
    <d v="2026-02-12T00:00:00"/>
    <s v="VANESSA "/>
    <s v="BAHIA "/>
    <x v="54"/>
    <x v="48"/>
    <s v="EMBALAGEM "/>
    <s v="CAIXA INDIVIDUAL"/>
    <x v="64"/>
    <x v="40"/>
    <s v="TABLET"/>
    <n v="3"/>
    <m/>
    <n v="-3"/>
    <x v="2"/>
    <s v="TBC"/>
    <x v="1"/>
    <m/>
  </r>
  <r>
    <n v="1"/>
    <d v="2026-02-12T00:00:00"/>
    <s v="VANESSA "/>
    <s v="BAHIA "/>
    <x v="55"/>
    <x v="49"/>
    <s v="INSUMO"/>
    <s v="ROTULO"/>
    <x v="65"/>
    <x v="41"/>
    <s v="T1W"/>
    <n v="80"/>
    <n v="80"/>
    <n v="0"/>
    <x v="0"/>
    <d v="2026-04-10T00:00:00"/>
    <x v="0"/>
    <m/>
  </r>
  <r>
    <n v="1"/>
    <d v="2026-02-12T00:00:00"/>
    <s v="VANESSA "/>
    <s v="BAHIA "/>
    <x v="56"/>
    <x v="50"/>
    <s v="EMBALAGEM "/>
    <s v="CAIXA INDIVIDUAL"/>
    <x v="65"/>
    <x v="41"/>
    <s v="T1W"/>
    <n v="40"/>
    <n v="40"/>
    <n v="0"/>
    <x v="0"/>
    <d v="2026-04-10T00:00:00"/>
    <x v="0"/>
    <m/>
  </r>
  <r>
    <n v="1"/>
    <d v="2026-02-12T00:00:00"/>
    <s v="VANESSA "/>
    <s v="BAHIA "/>
    <x v="55"/>
    <x v="49"/>
    <s v="INSUMO"/>
    <s v="ROTULO"/>
    <x v="66"/>
    <x v="42"/>
    <s v="T1W"/>
    <n v="144"/>
    <n v="144"/>
    <n v="0"/>
    <x v="0"/>
    <d v="2026-04-10T00:00:00"/>
    <x v="0"/>
    <m/>
  </r>
  <r>
    <n v="1"/>
    <d v="2026-02-12T00:00:00"/>
    <s v="VANESSA "/>
    <s v="BAHIA "/>
    <x v="56"/>
    <x v="50"/>
    <s v="EMBALAGEM "/>
    <s v="CAIXA INDIVIDUAL"/>
    <x v="66"/>
    <x v="42"/>
    <s v="T1W"/>
    <n v="72"/>
    <n v="72"/>
    <n v="0"/>
    <x v="0"/>
    <d v="2026-04-10T00:00:00"/>
    <x v="0"/>
    <m/>
  </r>
  <r>
    <n v="1"/>
    <d v="2026-02-12T00:00:00"/>
    <s v="VANESSA "/>
    <s v="BAHIA "/>
    <x v="57"/>
    <x v="51"/>
    <s v="INSUMO"/>
    <s v="ROTULO"/>
    <x v="67"/>
    <x v="43"/>
    <s v="T2W"/>
    <n v="106"/>
    <n v="106"/>
    <n v="0"/>
    <x v="10"/>
    <d v="2026-04-13T00:00:00"/>
    <x v="0"/>
    <m/>
  </r>
  <r>
    <n v="1"/>
    <d v="2026-02-12T00:00:00"/>
    <s v="VANESSA "/>
    <s v="BAHIA "/>
    <x v="57"/>
    <x v="51"/>
    <s v="INSUMO"/>
    <s v="ROTULO"/>
    <x v="68"/>
    <x v="44"/>
    <s v="T2W"/>
    <n v="1948"/>
    <n v="1948"/>
    <n v="0"/>
    <x v="10"/>
    <d v="2026-04-13T00:00:00"/>
    <x v="0"/>
    <m/>
  </r>
  <r>
    <n v="1"/>
    <d v="2026-02-12T00:00:00"/>
    <s v="VANESSA "/>
    <s v="BAHIA "/>
    <x v="58"/>
    <x v="52"/>
    <s v="EMBALAGEM "/>
    <s v="CAIXA INDIVIDUAL"/>
    <x v="67"/>
    <x v="43"/>
    <s v="T2W"/>
    <n v="53"/>
    <n v="53"/>
    <n v="0"/>
    <x v="10"/>
    <d v="2026-04-13T00:00:00"/>
    <x v="0"/>
    <m/>
  </r>
  <r>
    <n v="1"/>
    <d v="2026-02-12T00:00:00"/>
    <s v="VANESSA "/>
    <s v="BAHIA "/>
    <x v="59"/>
    <x v="52"/>
    <s v="EMBALAGEM "/>
    <s v="CAIXA INDIVIDUAL"/>
    <x v="68"/>
    <x v="44"/>
    <s v="T2W"/>
    <n v="974"/>
    <n v="974"/>
    <n v="0"/>
    <x v="10"/>
    <d v="2026-04-13T00:00:00"/>
    <x v="0"/>
    <m/>
  </r>
  <r>
    <n v="1"/>
    <d v="2026-02-12T00:00:00"/>
    <s v="VANESSA "/>
    <s v="BAHIA "/>
    <x v="60"/>
    <x v="53"/>
    <s v="INSUMO"/>
    <s v="ROTULO"/>
    <x v="69"/>
    <x v="45"/>
    <s v="TM1200"/>
    <n v="26"/>
    <n v="26"/>
    <n v="0"/>
    <x v="0"/>
    <d v="2026-04-10T00:00:00"/>
    <x v="0"/>
    <m/>
  </r>
  <r>
    <n v="1"/>
    <d v="2026-02-12T00:00:00"/>
    <s v="VANESSA "/>
    <s v="BAHIA "/>
    <x v="61"/>
    <x v="54"/>
    <s v="EMBALAGEM "/>
    <s v="CAIXA INDIVIDUAL"/>
    <x v="69"/>
    <x v="45"/>
    <s v="TM1200"/>
    <n v="13"/>
    <n v="13"/>
    <n v="0"/>
    <x v="0"/>
    <d v="2026-04-10T00:00:00"/>
    <x v="0"/>
    <m/>
  </r>
  <r>
    <n v="1"/>
    <d v="2026-02-12T00:00:00"/>
    <s v="VANESSA "/>
    <s v="BAHIA "/>
    <x v="62"/>
    <x v="55"/>
    <s v="INSUMO"/>
    <s v="ROTULO"/>
    <x v="70"/>
    <x v="46"/>
    <s v="TM2200"/>
    <n v="580"/>
    <n v="580"/>
    <n v="0"/>
    <x v="0"/>
    <d v="2026-04-10T00:00:00"/>
    <x v="0"/>
    <m/>
  </r>
  <r>
    <n v="1"/>
    <d v="2026-02-12T00:00:00"/>
    <s v="VANESSA "/>
    <s v="BAHIA "/>
    <x v="63"/>
    <x v="56"/>
    <s v="EMBALAGEM "/>
    <s v="CAIXA INDIVIDUAL"/>
    <x v="70"/>
    <x v="46"/>
    <s v="TM2200"/>
    <n v="290"/>
    <n v="290"/>
    <n v="0"/>
    <x v="0"/>
    <d v="2026-04-10T00:00:00"/>
    <x v="0"/>
    <m/>
  </r>
  <r>
    <n v="1"/>
    <d v="2026-02-12T00:00:00"/>
    <s v="VANESSA "/>
    <s v="BAHIA "/>
    <x v="64"/>
    <x v="57"/>
    <s v="EMBALAGEM "/>
    <s v="CAIXA INDIVIDUAL"/>
    <x v="71"/>
    <x v="47"/>
    <s v="TV 32 ANDROID"/>
    <n v="1390"/>
    <n v="1390"/>
    <n v="0"/>
    <x v="4"/>
    <d v="2026-05-26T00:00:00"/>
    <x v="0"/>
    <m/>
  </r>
  <r>
    <n v="1"/>
    <d v="2026-02-12T00:00:00"/>
    <s v="VANESSA "/>
    <s v="BAHIA "/>
    <x v="65"/>
    <x v="57"/>
    <s v="EMBALAGEM "/>
    <s v="CAIXA INDIVIDUAL"/>
    <x v="72"/>
    <x v="47"/>
    <s v="TV 32 ANDROID"/>
    <n v="24"/>
    <n v="24"/>
    <n v="0"/>
    <x v="0"/>
    <d v="2026-04-10T00:00:00"/>
    <x v="0"/>
    <m/>
  </r>
  <r>
    <n v="1"/>
    <d v="2026-02-12T00:00:00"/>
    <s v="VANESSA "/>
    <s v="BAHIA "/>
    <x v="66"/>
    <x v="58"/>
    <s v="EMBALAGEM "/>
    <s v="CAIXA INDIVIDUAL"/>
    <x v="73"/>
    <x v="48"/>
    <s v="TV 43 ANDROID"/>
    <n v="119"/>
    <n v="119"/>
    <n v="0"/>
    <x v="4"/>
    <d v="2026-05-26T00:00:00"/>
    <x v="0"/>
    <m/>
  </r>
  <r>
    <n v="1"/>
    <d v="2026-02-12T00:00:00"/>
    <s v="VANESSA "/>
    <s v="BAHIA "/>
    <x v="67"/>
    <x v="58"/>
    <s v="EMBALAGEM "/>
    <s v="CAIXA INDIVIDUAL"/>
    <x v="74"/>
    <x v="48"/>
    <s v="TV 43 ANDROID"/>
    <n v="4144"/>
    <m/>
    <n v="-4144"/>
    <x v="11"/>
    <d v="2026-09-04T00:00:00"/>
    <x v="3"/>
    <s v="Entrega direto na expedição"/>
  </r>
  <r>
    <n v="1"/>
    <d v="2026-02-12T00:00:00"/>
    <s v="VANESSA "/>
    <s v="BAHIA "/>
    <x v="66"/>
    <x v="58"/>
    <s v="EMBALAGEM "/>
    <s v="CAIXA INDIVIDUAL"/>
    <x v="75"/>
    <x v="48"/>
    <s v="TV 43 ANDROID"/>
    <n v="17"/>
    <n v="17"/>
    <n v="0"/>
    <x v="4"/>
    <d v="2026-05-26T00:00:00"/>
    <x v="0"/>
    <m/>
  </r>
  <r>
    <n v="1"/>
    <d v="2026-02-12T00:00:00"/>
    <s v="VANESSA "/>
    <s v="BAHIA "/>
    <x v="68"/>
    <x v="59"/>
    <s v="EMBALAGEM "/>
    <s v="CAIXA INDIVIDUAL"/>
    <x v="76"/>
    <x v="49"/>
    <s v="TV 50 ANDROID"/>
    <n v="1230"/>
    <n v="1230"/>
    <n v="0"/>
    <x v="0"/>
    <d v="2026-03-27T00:00:00"/>
    <x v="0"/>
    <m/>
  </r>
  <r>
    <n v="1"/>
    <d v="2026-02-12T00:00:00"/>
    <s v="VANESSA "/>
    <s v="BAHIA "/>
    <x v="69"/>
    <x v="59"/>
    <s v="EMBALAGEM "/>
    <s v="CAIXA INDIVIDUAL"/>
    <x v="77"/>
    <x v="50"/>
    <s v="TV 50 SMART"/>
    <n v="17"/>
    <m/>
    <n v="-17"/>
    <x v="3"/>
    <s v="TBC"/>
    <x v="1"/>
    <m/>
  </r>
  <r>
    <n v="1"/>
    <d v="2026-02-12T00:00:00"/>
    <s v="VANESSA "/>
    <s v="BAHIA "/>
    <x v="70"/>
    <x v="60"/>
    <s v="EMBALAGEM "/>
    <s v="CAIXA INDIVIDUAL"/>
    <x v="78"/>
    <x v="51"/>
    <s v="TV 55 ANDROID"/>
    <n v="19"/>
    <n v="19"/>
    <n v="0"/>
    <x v="4"/>
    <d v="2026-05-26T00:00:00"/>
    <x v="0"/>
    <m/>
  </r>
  <r>
    <n v="1"/>
    <d v="2026-02-12T00:00:00"/>
    <s v="VANESSA "/>
    <s v="BAHIA "/>
    <x v="71"/>
    <x v="60"/>
    <s v="EMBALAGEM "/>
    <s v="CAIXA INDIVIDUAL"/>
    <x v="78"/>
    <x v="51"/>
    <s v="TV 55 ANDROID"/>
    <n v="3"/>
    <m/>
    <n v="-3"/>
    <x v="12"/>
    <d v="2026-08-24T00:00:00"/>
    <x v="3"/>
    <s v="Fazer reserva "/>
  </r>
  <r>
    <n v="1"/>
    <d v="2026-02-12T00:00:00"/>
    <s v="VANESSA "/>
    <s v="BAHIA "/>
    <x v="71"/>
    <x v="60"/>
    <s v="EMBALAGEM "/>
    <s v="CAIXA INDIVIDUAL"/>
    <x v="79"/>
    <x v="51"/>
    <s v="TV 55 ANDROID"/>
    <n v="408"/>
    <n v="408"/>
    <n v="0"/>
    <x v="0"/>
    <d v="2026-03-27T00:00:00"/>
    <x v="0"/>
    <m/>
  </r>
  <r>
    <n v="1"/>
    <d v="2026-02-12T00:00:00"/>
    <s v="VANESSA "/>
    <s v="BAHIA "/>
    <x v="72"/>
    <x v="61"/>
    <s v="EMBALAGEM "/>
    <s v="CAIXA INDIVIDUAL"/>
    <x v="80"/>
    <x v="52"/>
    <s v="TV 65"/>
    <n v="6"/>
    <n v="6"/>
    <n v="0"/>
    <x v="4"/>
    <d v="2026-05-18T00:00:00"/>
    <x v="0"/>
    <m/>
  </r>
  <r>
    <n v="1"/>
    <d v="2026-02-12T00:00:00"/>
    <s v="VANESSA "/>
    <s v="BAHIA "/>
    <x v="73"/>
    <x v="59"/>
    <s v="EMBALAGEM "/>
    <s v="CAIXA INDIVIDUAL"/>
    <x v="81"/>
    <x v="49"/>
    <s v="TV 50 ANDROID"/>
    <n v="1"/>
    <n v="1"/>
    <n v="0"/>
    <x v="4"/>
    <d v="2026-05-18T00:00:00"/>
    <x v="0"/>
    <m/>
  </r>
  <r>
    <n v="1"/>
    <d v="2026-02-12T00:00:00"/>
    <s v="VANESSA "/>
    <s v="BAHIA "/>
    <x v="74"/>
    <x v="62"/>
    <s v="EMBALAGEM "/>
    <s v="CAIXA INDIVIDUAL"/>
    <x v="82"/>
    <x v="53"/>
    <s v="TV 75"/>
    <n v="1"/>
    <m/>
    <n v="-1"/>
    <x v="2"/>
    <s v="TBC"/>
    <x v="1"/>
    <m/>
  </r>
  <r>
    <n v="1"/>
    <d v="2026-02-12T00:00:00"/>
    <s v="VANESSA "/>
    <s v="BAHIA "/>
    <x v="24"/>
    <x v="22"/>
    <s v="INSUMO"/>
    <s v="ROTULO"/>
    <x v="32"/>
    <x v="18"/>
    <s v="CM 700"/>
    <n v="40"/>
    <m/>
    <n v="-40"/>
    <x v="3"/>
    <m/>
    <x v="2"/>
    <s v="Solicitar compra por e-mail"/>
  </r>
  <r>
    <n v="1"/>
    <d v="2026-02-12T00:00:00"/>
    <s v="VANESSA "/>
    <s v="BAHIA "/>
    <x v="47"/>
    <x v="43"/>
    <s v="INSUMO"/>
    <s v="CALÇO"/>
    <x v="55"/>
    <x v="34"/>
    <s v="MO 34L"/>
    <n v="315"/>
    <n v="315"/>
    <n v="0"/>
    <x v="9"/>
    <d v="2026-08-11T00:00:00"/>
    <x v="0"/>
    <s v="NF 03"/>
  </r>
  <r>
    <n v="2"/>
    <d v="2026-02-25T00:00:00"/>
    <s v="TAIMON"/>
    <s v="BAHIA "/>
    <x v="56"/>
    <x v="50"/>
    <s v="EMBALAGEM "/>
    <s v="CAIXA INDIVIDUAL"/>
    <x v="66"/>
    <x v="42"/>
    <s v="T1W"/>
    <n v="173"/>
    <n v="173"/>
    <n v="0"/>
    <x v="13"/>
    <d v="2026-03-10T00:00:00"/>
    <x v="0"/>
    <m/>
  </r>
  <r>
    <n v="2"/>
    <d v="2026-02-25T00:00:00"/>
    <s v="TAIMON"/>
    <s v="BAHIA "/>
    <x v="55"/>
    <x v="49"/>
    <s v="INSUMO"/>
    <s v="ROTULO"/>
    <x v="66"/>
    <x v="42"/>
    <s v="T1W"/>
    <n v="346"/>
    <n v="346"/>
    <n v="0"/>
    <x v="13"/>
    <d v="2026-03-10T00:00:00"/>
    <x v="0"/>
    <m/>
  </r>
  <r>
    <n v="3"/>
    <d v="2026-03-07T00:00:00"/>
    <s v="VANESSA "/>
    <s v="BAHIA "/>
    <x v="67"/>
    <x v="58"/>
    <s v="EMBALAGEM "/>
    <s v="CAIXA INDIVIDUAL"/>
    <x v="73"/>
    <x v="48"/>
    <s v="TV 43 ANDROID"/>
    <n v="1"/>
    <n v="1"/>
    <n v="0"/>
    <x v="0"/>
    <d v="2026-04-10T00:00:00"/>
    <x v="0"/>
    <m/>
  </r>
  <r>
    <n v="3"/>
    <d v="2026-03-07T00:00:00"/>
    <s v="VANESSA "/>
    <s v="BAHIA "/>
    <x v="0"/>
    <x v="0"/>
    <s v="EMBALAGEM "/>
    <s v="CAIXA INDIVIDUAL"/>
    <x v="0"/>
    <x v="0"/>
    <s v="BBS PRETO"/>
    <n v="131"/>
    <n v="131"/>
    <n v="0"/>
    <x v="0"/>
    <d v="2026-03-23T00:00:00"/>
    <x v="0"/>
    <m/>
  </r>
  <r>
    <n v="3"/>
    <d v="2026-03-07T00:00:00"/>
    <s v="VANESSA "/>
    <s v="BAHIA "/>
    <x v="1"/>
    <x v="1"/>
    <s v="EMBALAGEM "/>
    <s v="CAIXA INDIVIDUAL"/>
    <x v="1"/>
    <x v="1"/>
    <s v="BBS BG"/>
    <n v="57"/>
    <n v="57"/>
    <n v="0"/>
    <x v="0"/>
    <d v="2026-03-23T00:00:00"/>
    <x v="0"/>
    <m/>
  </r>
  <r>
    <n v="3"/>
    <d v="2026-03-07T00:00:00"/>
    <s v="VANESSA "/>
    <s v="BAHIA "/>
    <x v="7"/>
    <x v="7"/>
    <s v="EMBALAGEM "/>
    <s v="CAIXA INDIVIDUAL"/>
    <x v="10"/>
    <x v="6"/>
    <s v="BBS LBL"/>
    <n v="31"/>
    <n v="31"/>
    <n v="0"/>
    <x v="0"/>
    <d v="2026-03-23T00:00:00"/>
    <x v="0"/>
    <m/>
  </r>
  <r>
    <n v="3"/>
    <d v="2026-03-07T00:00:00"/>
    <s v="VANESSA "/>
    <s v="BAHIA "/>
    <x v="14"/>
    <x v="14"/>
    <s v="EMBALAGEM "/>
    <s v="CAIXA INDIVIDUAL"/>
    <x v="19"/>
    <x v="12"/>
    <s v="CM 250"/>
    <n v="1"/>
    <n v="1"/>
    <n v="0"/>
    <x v="4"/>
    <d v="2026-05-26T00:00:00"/>
    <x v="0"/>
    <m/>
  </r>
  <r>
    <n v="3"/>
    <d v="2026-03-07T00:00:00"/>
    <s v="VANESSA "/>
    <s v="BAHIA "/>
    <x v="15"/>
    <x v="15"/>
    <s v="EMBALAGEM "/>
    <s v="CAIXA COLETIVA"/>
    <x v="19"/>
    <x v="12"/>
    <s v="CM 250"/>
    <n v="1"/>
    <n v="1"/>
    <n v="0"/>
    <x v="0"/>
    <d v="2026-03-23T00:00:00"/>
    <x v="0"/>
    <m/>
  </r>
  <r>
    <n v="3"/>
    <d v="2026-03-07T00:00:00"/>
    <s v="VANESSA "/>
    <s v="BAHIA "/>
    <x v="75"/>
    <x v="14"/>
    <s v="EMBALAGEM "/>
    <s v="CAIXA INDIVIDUAL"/>
    <x v="20"/>
    <x v="12"/>
    <s v="CM 250"/>
    <n v="183"/>
    <n v="183"/>
    <n v="0"/>
    <x v="0"/>
    <d v="2026-03-23T00:00:00"/>
    <x v="0"/>
    <m/>
  </r>
  <r>
    <n v="3"/>
    <d v="2026-03-07T00:00:00"/>
    <s v="VANESSA "/>
    <s v="BAHIA "/>
    <x v="15"/>
    <x v="15"/>
    <s v="EMBALAGEM "/>
    <s v="CAIXA COLETIVA"/>
    <x v="20"/>
    <x v="12"/>
    <s v="CM 250"/>
    <n v="46"/>
    <n v="46"/>
    <n v="0"/>
    <x v="0"/>
    <d v="2026-03-23T00:00:00"/>
    <x v="0"/>
    <m/>
  </r>
  <r>
    <n v="3"/>
    <d v="2026-03-07T00:00:00"/>
    <s v="VANESSA "/>
    <s v="BAHIA "/>
    <x v="16"/>
    <x v="16"/>
    <s v="EMBALAGEM "/>
    <s v="CAIXA INDIVIDUAL"/>
    <x v="21"/>
    <x v="13"/>
    <s v="CM400"/>
    <n v="264"/>
    <n v="264"/>
    <n v="0"/>
    <x v="0"/>
    <d v="2026-03-26T00:00:00"/>
    <x v="0"/>
    <m/>
  </r>
  <r>
    <n v="3"/>
    <d v="2026-03-07T00:00:00"/>
    <s v="VANESSA "/>
    <s v="BAHIA "/>
    <x v="76"/>
    <x v="63"/>
    <s v="EMBALAGEM "/>
    <s v="CAIXA INDIVIDUAL"/>
    <x v="83"/>
    <x v="54"/>
    <s v="CM 400L"/>
    <n v="8"/>
    <n v="8"/>
    <n v="0"/>
    <x v="0"/>
    <d v="2026-03-27T00:00:00"/>
    <x v="0"/>
    <m/>
  </r>
  <r>
    <n v="3"/>
    <d v="2026-03-07T00:00:00"/>
    <s v="VANESSA "/>
    <s v="BAHIA "/>
    <x v="77"/>
    <x v="64"/>
    <s v="EMBALAGEM "/>
    <s v="CAIXA COLETIVA"/>
    <x v="83"/>
    <x v="54"/>
    <s v="CM 400L"/>
    <n v="2"/>
    <n v="2"/>
    <n v="0"/>
    <x v="0"/>
    <d v="2026-03-27T00:00:00"/>
    <x v="0"/>
    <m/>
  </r>
  <r>
    <n v="3"/>
    <d v="2026-03-07T00:00:00"/>
    <s v="VANESSA "/>
    <s v="BAHIA "/>
    <x v="76"/>
    <x v="63"/>
    <s v="EMBALAGEM "/>
    <s v="CAIXA INDIVIDUAL"/>
    <x v="84"/>
    <x v="55"/>
    <s v="CM 400 PL"/>
    <n v="26"/>
    <n v="26"/>
    <n v="0"/>
    <x v="0"/>
    <d v="2026-04-10T00:00:00"/>
    <x v="0"/>
    <m/>
  </r>
  <r>
    <n v="3"/>
    <d v="2026-03-07T00:00:00"/>
    <s v="VANESSA "/>
    <s v="BAHIA "/>
    <x v="20"/>
    <x v="19"/>
    <s v="EMBALAGEM "/>
    <s v="CAIXA INDIVIDUAL"/>
    <x v="26"/>
    <x v="15"/>
    <s v="CM 500"/>
    <n v="27"/>
    <m/>
    <n v="-27"/>
    <x v="2"/>
    <s v="TBC"/>
    <x v="1"/>
    <m/>
  </r>
  <r>
    <n v="3"/>
    <d v="2026-03-07T00:00:00"/>
    <s v="VANESSA "/>
    <s v="BAHIA "/>
    <x v="22"/>
    <x v="20"/>
    <s v="EMBALAGEM "/>
    <s v="CAIXA INDIVIDUAL"/>
    <x v="30"/>
    <x v="16"/>
    <s v="CM 550"/>
    <n v="1405"/>
    <n v="1405"/>
    <n v="0"/>
    <x v="10"/>
    <d v="2026-04-24T00:00:00"/>
    <x v="0"/>
    <m/>
  </r>
  <r>
    <n v="3"/>
    <d v="2026-03-07T00:00:00"/>
    <s v="VANESSA "/>
    <s v="BAHIA "/>
    <x v="21"/>
    <x v="20"/>
    <s v="EMBALAGEM "/>
    <s v="CAIXA INDIVIDUAL"/>
    <x v="30"/>
    <x v="16"/>
    <s v="CM 550"/>
    <n v="176"/>
    <n v="176"/>
    <n v="0"/>
    <x v="6"/>
    <d v="2026-07-01T00:00:00"/>
    <x v="0"/>
    <m/>
  </r>
  <r>
    <n v="3"/>
    <d v="2026-03-07T00:00:00"/>
    <s v="VANESSA "/>
    <s v="BAHIA "/>
    <x v="23"/>
    <x v="21"/>
    <s v="EMBALAGEM "/>
    <s v="CAIXA INDIVIDUAL"/>
    <x v="31"/>
    <x v="17"/>
    <s v="CM 550L"/>
    <n v="83"/>
    <n v="83"/>
    <n v="0"/>
    <x v="0"/>
    <d v="2026-03-27T00:00:00"/>
    <x v="0"/>
    <m/>
  </r>
  <r>
    <n v="3"/>
    <d v="2026-03-07T00:00:00"/>
    <s v="VANESSA "/>
    <s v="BAHIA "/>
    <x v="24"/>
    <x v="22"/>
    <s v="INSUMO"/>
    <s v="ROTULO"/>
    <x v="34"/>
    <x v="18"/>
    <s v="CM 700"/>
    <n v="60"/>
    <m/>
    <n v="-60"/>
    <x v="3"/>
    <m/>
    <x v="2"/>
    <s v="Solicitar compra por e-mail"/>
  </r>
  <r>
    <n v="3"/>
    <d v="2026-03-07T00:00:00"/>
    <s v="VANESSA "/>
    <s v="BAHIA "/>
    <x v="25"/>
    <x v="23"/>
    <s v="EMBALAGEM "/>
    <s v="CAIXA INDIVIDUAL"/>
    <x v="34"/>
    <x v="18"/>
    <s v="CM 700"/>
    <n v="60"/>
    <m/>
    <n v="-60"/>
    <x v="3"/>
    <m/>
    <x v="2"/>
    <s v="Solicitar compra por e-mail"/>
  </r>
  <r>
    <n v="3"/>
    <d v="2026-03-07T00:00:00"/>
    <s v="VANESSA "/>
    <s v="BAHIA "/>
    <x v="39"/>
    <x v="36"/>
    <s v="INSUMO"/>
    <s v="CALÇO"/>
    <x v="43"/>
    <x v="26"/>
    <s v="MO 21L"/>
    <n v="47"/>
    <n v="47"/>
    <n v="0"/>
    <x v="14"/>
    <d v="2026-05-26T00:00:00"/>
    <x v="0"/>
    <m/>
  </r>
  <r>
    <n v="3"/>
    <d v="2026-03-07T00:00:00"/>
    <s v="VANESSA "/>
    <s v="BAHIA "/>
    <x v="40"/>
    <x v="37"/>
    <s v="INSUMO"/>
    <s v="CALÇO"/>
    <x v="43"/>
    <x v="26"/>
    <s v="MO 21L"/>
    <n v="47"/>
    <n v="47"/>
    <n v="0"/>
    <x v="14"/>
    <d v="2026-05-26T00:00:00"/>
    <x v="0"/>
    <m/>
  </r>
  <r>
    <n v="3"/>
    <d v="2026-03-07T00:00:00"/>
    <s v="VANESSA "/>
    <s v="BAHIA "/>
    <x v="41"/>
    <x v="35"/>
    <s v="INSUMO"/>
    <s v="ROTULO"/>
    <x v="43"/>
    <x v="26"/>
    <s v="MO 21L"/>
    <n v="47"/>
    <n v="47"/>
    <n v="0"/>
    <x v="0"/>
    <d v="2026-03-27T00:00:00"/>
    <x v="0"/>
    <m/>
  </r>
  <r>
    <n v="3"/>
    <d v="2026-03-07T00:00:00"/>
    <s v="VANESSA "/>
    <s v="BAHIA "/>
    <x v="39"/>
    <x v="36"/>
    <s v="INSUMO"/>
    <s v="CALÇO"/>
    <x v="45"/>
    <x v="27"/>
    <s v="MO 21L"/>
    <n v="148"/>
    <n v="148"/>
    <n v="0"/>
    <x v="14"/>
    <d v="2026-05-26T00:00:00"/>
    <x v="0"/>
    <m/>
  </r>
  <r>
    <n v="3"/>
    <d v="2026-03-07T00:00:00"/>
    <s v="VANESSA "/>
    <s v="BAHIA "/>
    <x v="40"/>
    <x v="37"/>
    <s v="INSUMO"/>
    <s v="CALÇO"/>
    <x v="45"/>
    <x v="27"/>
    <s v="MO 21L"/>
    <n v="148"/>
    <n v="148"/>
    <n v="0"/>
    <x v="14"/>
    <d v="2026-05-26T00:00:00"/>
    <x v="0"/>
    <m/>
  </r>
  <r>
    <n v="3"/>
    <d v="2026-03-07T00:00:00"/>
    <s v="VANESSA "/>
    <s v="BAHIA "/>
    <x v="41"/>
    <x v="35"/>
    <s v="INSUMO"/>
    <s v="ROTULO"/>
    <x v="45"/>
    <x v="27"/>
    <s v="MO 21L"/>
    <n v="148"/>
    <n v="148"/>
    <n v="0"/>
    <x v="0"/>
    <d v="2026-03-27T00:00:00"/>
    <x v="0"/>
    <m/>
  </r>
  <r>
    <n v="3"/>
    <d v="2026-03-07T00:00:00"/>
    <s v="VANESSA "/>
    <s v="BAHIA "/>
    <x v="39"/>
    <x v="36"/>
    <s v="INSUMO"/>
    <s v="CALÇO"/>
    <x v="46"/>
    <x v="28"/>
    <s v="MO 21L"/>
    <n v="14"/>
    <n v="14"/>
    <n v="0"/>
    <x v="14"/>
    <d v="2026-05-26T00:00:00"/>
    <x v="0"/>
    <m/>
  </r>
  <r>
    <n v="3"/>
    <d v="2026-03-07T00:00:00"/>
    <s v="VANESSA "/>
    <s v="BAHIA "/>
    <x v="40"/>
    <x v="37"/>
    <s v="INSUMO"/>
    <s v="CALÇO"/>
    <x v="46"/>
    <x v="28"/>
    <s v="MO 21L"/>
    <n v="14"/>
    <n v="14"/>
    <n v="0"/>
    <x v="14"/>
    <d v="2026-05-26T00:00:00"/>
    <x v="0"/>
    <m/>
  </r>
  <r>
    <n v="3"/>
    <d v="2026-03-07T00:00:00"/>
    <s v="VANESSA "/>
    <s v="BAHIA "/>
    <x v="42"/>
    <x v="38"/>
    <s v="INSUMO"/>
    <s v="ROTULO"/>
    <x v="46"/>
    <x v="28"/>
    <s v="MO 21L"/>
    <n v="14"/>
    <n v="14"/>
    <n v="0"/>
    <x v="0"/>
    <d v="2026-03-27T00:00:00"/>
    <x v="0"/>
    <m/>
  </r>
  <r>
    <n v="3"/>
    <d v="2026-03-07T00:00:00"/>
    <s v="VANESSA "/>
    <s v="BAHIA "/>
    <x v="39"/>
    <x v="36"/>
    <s v="INSUMO"/>
    <s v="CALÇO"/>
    <x v="47"/>
    <x v="29"/>
    <s v="MO 21L"/>
    <n v="14"/>
    <n v="14"/>
    <n v="0"/>
    <x v="14"/>
    <d v="2026-05-26T00:00:00"/>
    <x v="0"/>
    <m/>
  </r>
  <r>
    <n v="3"/>
    <d v="2026-03-07T00:00:00"/>
    <s v="VANESSA "/>
    <s v="BAHIA "/>
    <x v="40"/>
    <x v="37"/>
    <s v="INSUMO"/>
    <s v="CALÇO"/>
    <x v="47"/>
    <x v="29"/>
    <s v="MO 21L"/>
    <n v="14"/>
    <n v="14"/>
    <n v="0"/>
    <x v="14"/>
    <d v="2026-05-26T00:00:00"/>
    <x v="0"/>
    <m/>
  </r>
  <r>
    <n v="3"/>
    <d v="2026-03-07T00:00:00"/>
    <s v="VANESSA "/>
    <s v="BAHIA "/>
    <x v="42"/>
    <x v="38"/>
    <s v="INSUMO"/>
    <s v="ROTULO"/>
    <x v="47"/>
    <x v="29"/>
    <s v="MO 21L"/>
    <n v="14"/>
    <n v="14"/>
    <n v="0"/>
    <x v="0"/>
    <d v="2026-03-27T00:00:00"/>
    <x v="0"/>
    <m/>
  </r>
  <r>
    <n v="3"/>
    <d v="2026-03-07T00:00:00"/>
    <s v="VANESSA "/>
    <s v="BAHIA "/>
    <x v="39"/>
    <x v="36"/>
    <s v="INSUMO"/>
    <s v="CALÇO"/>
    <x v="49"/>
    <x v="30"/>
    <s v="MO 21L"/>
    <n v="6"/>
    <n v="6"/>
    <n v="0"/>
    <x v="14"/>
    <d v="2026-05-26T00:00:00"/>
    <x v="0"/>
    <m/>
  </r>
  <r>
    <n v="3"/>
    <d v="2026-03-07T00:00:00"/>
    <s v="VANESSA "/>
    <s v="BAHIA "/>
    <x v="40"/>
    <x v="37"/>
    <s v="INSUMO"/>
    <s v="CALÇO"/>
    <x v="49"/>
    <x v="30"/>
    <s v="MO 21L"/>
    <n v="6"/>
    <n v="6"/>
    <n v="0"/>
    <x v="14"/>
    <d v="2026-05-26T00:00:00"/>
    <x v="0"/>
    <m/>
  </r>
  <r>
    <n v="3"/>
    <d v="2026-03-07T00:00:00"/>
    <s v="VANESSA "/>
    <s v="BAHIA "/>
    <x v="44"/>
    <x v="40"/>
    <s v="INSUMO"/>
    <s v="ROTULO"/>
    <x v="49"/>
    <x v="30"/>
    <s v="MO 21L"/>
    <n v="6"/>
    <n v="6"/>
    <n v="0"/>
    <x v="0"/>
    <d v="2026-03-27T00:00:00"/>
    <x v="0"/>
    <m/>
  </r>
  <r>
    <n v="3"/>
    <d v="2026-03-07T00:00:00"/>
    <s v="VANESSA "/>
    <s v="BAHIA "/>
    <x v="39"/>
    <x v="36"/>
    <s v="INSUMO"/>
    <s v="CALÇO"/>
    <x v="50"/>
    <x v="31"/>
    <s v="MO 21L"/>
    <n v="69"/>
    <n v="69"/>
    <n v="0"/>
    <x v="14"/>
    <d v="2026-05-26T00:00:00"/>
    <x v="0"/>
    <m/>
  </r>
  <r>
    <n v="3"/>
    <d v="2026-03-07T00:00:00"/>
    <s v="VANESSA "/>
    <s v="BAHIA "/>
    <x v="40"/>
    <x v="37"/>
    <s v="INSUMO"/>
    <s v="CALÇO"/>
    <x v="50"/>
    <x v="31"/>
    <s v="MO 21L"/>
    <n v="69"/>
    <n v="69"/>
    <n v="0"/>
    <x v="14"/>
    <d v="2026-05-26T00:00:00"/>
    <x v="0"/>
    <m/>
  </r>
  <r>
    <n v="3"/>
    <d v="2026-03-07T00:00:00"/>
    <s v="VANESSA "/>
    <s v="BAHIA "/>
    <x v="44"/>
    <x v="40"/>
    <s v="INSUMO"/>
    <s v="ROTULO"/>
    <x v="50"/>
    <x v="31"/>
    <s v="MO 21L"/>
    <n v="68"/>
    <n v="68"/>
    <n v="0"/>
    <x v="0"/>
    <d v="2026-03-27T00:00:00"/>
    <x v="0"/>
    <m/>
  </r>
  <r>
    <n v="3"/>
    <d v="2026-03-07T00:00:00"/>
    <s v="VANESSA "/>
    <s v="BAHIA "/>
    <x v="39"/>
    <x v="36"/>
    <s v="INSUMO"/>
    <s v="CALÇO"/>
    <x v="51"/>
    <x v="31"/>
    <s v="MO 21L"/>
    <n v="172"/>
    <n v="172"/>
    <n v="0"/>
    <x v="14"/>
    <d v="2026-05-25T00:00:00"/>
    <x v="0"/>
    <m/>
  </r>
  <r>
    <n v="3"/>
    <d v="2026-03-07T00:00:00"/>
    <s v="VANESSA "/>
    <s v="BAHIA "/>
    <x v="40"/>
    <x v="37"/>
    <s v="INSUMO"/>
    <s v="CALÇO"/>
    <x v="51"/>
    <x v="31"/>
    <s v="MO 21L"/>
    <n v="172"/>
    <n v="172"/>
    <n v="0"/>
    <x v="14"/>
    <d v="2026-05-25T00:00:00"/>
    <x v="0"/>
    <m/>
  </r>
  <r>
    <n v="3"/>
    <d v="2026-03-07T00:00:00"/>
    <s v="VANESSA "/>
    <s v="BAHIA "/>
    <x v="43"/>
    <x v="39"/>
    <s v="INSUMO"/>
    <s v="ROTULO"/>
    <x v="51"/>
    <x v="31"/>
    <s v="MO 21L"/>
    <n v="173"/>
    <n v="173"/>
    <n v="0"/>
    <x v="0"/>
    <d v="2026-03-27T00:00:00"/>
    <x v="0"/>
    <m/>
  </r>
  <r>
    <n v="3"/>
    <d v="2026-03-07T00:00:00"/>
    <s v="VANESSA "/>
    <s v="BAHIA "/>
    <x v="46"/>
    <x v="42"/>
    <s v="INSUMO"/>
    <s v="CALÇO"/>
    <x v="52"/>
    <x v="32"/>
    <s v="MO 34L"/>
    <n v="9"/>
    <n v="9"/>
    <n v="0"/>
    <x v="8"/>
    <d v="2026-08-11T00:00:00"/>
    <x v="0"/>
    <s v="NF 01"/>
  </r>
  <r>
    <n v="3"/>
    <d v="2026-03-07T00:00:00"/>
    <s v="VANESSA "/>
    <s v="BAHIA "/>
    <x v="47"/>
    <x v="43"/>
    <s v="INSUMO"/>
    <s v="CALÇO"/>
    <x v="52"/>
    <x v="32"/>
    <s v="MO 34L"/>
    <n v="9"/>
    <n v="9"/>
    <n v="0"/>
    <x v="8"/>
    <d v="2026-08-11T00:00:00"/>
    <x v="0"/>
    <s v="NF 01"/>
  </r>
  <r>
    <n v="3"/>
    <d v="2026-03-07T00:00:00"/>
    <s v="VANESSA "/>
    <s v="BAHIA "/>
    <x v="45"/>
    <x v="41"/>
    <s v="INSUMO"/>
    <s v="ROTULO"/>
    <x v="52"/>
    <x v="32"/>
    <s v="MO 34L"/>
    <n v="9"/>
    <n v="9"/>
    <n v="0"/>
    <x v="0"/>
    <d v="2026-03-27T00:00:00"/>
    <x v="0"/>
    <m/>
  </r>
  <r>
    <n v="3"/>
    <d v="2026-03-07T00:00:00"/>
    <s v="VANESSA "/>
    <s v="BAHIA "/>
    <x v="46"/>
    <x v="42"/>
    <s v="INSUMO"/>
    <s v="CALÇO"/>
    <x v="53"/>
    <x v="33"/>
    <s v="MO 34L"/>
    <n v="2"/>
    <n v="2"/>
    <n v="0"/>
    <x v="8"/>
    <d v="2026-08-11T00:00:00"/>
    <x v="0"/>
    <s v="NF 01"/>
  </r>
  <r>
    <n v="3"/>
    <d v="2026-03-07T00:00:00"/>
    <s v="VANESSA "/>
    <s v="BAHIA "/>
    <x v="47"/>
    <x v="43"/>
    <s v="INSUMO"/>
    <s v="CALÇO"/>
    <x v="53"/>
    <x v="33"/>
    <s v="MO 34L"/>
    <n v="2"/>
    <n v="2"/>
    <n v="0"/>
    <x v="8"/>
    <d v="2026-08-11T00:00:00"/>
    <x v="0"/>
    <s v="NF 01"/>
  </r>
  <r>
    <n v="3"/>
    <d v="2026-03-07T00:00:00"/>
    <s v="VANESSA "/>
    <s v="BAHIA "/>
    <x v="45"/>
    <x v="41"/>
    <s v="INSUMO"/>
    <s v="ROTULO"/>
    <x v="53"/>
    <x v="33"/>
    <s v="MO 34L"/>
    <n v="2"/>
    <n v="2"/>
    <n v="0"/>
    <x v="0"/>
    <d v="2026-03-27T00:00:00"/>
    <x v="0"/>
    <m/>
  </r>
  <r>
    <n v="3"/>
    <d v="2026-03-07T00:00:00"/>
    <s v="VANESSA "/>
    <s v="BAHIA "/>
    <x v="46"/>
    <x v="42"/>
    <s v="INSUMO"/>
    <s v="CALÇO"/>
    <x v="55"/>
    <x v="34"/>
    <s v="MO 34L"/>
    <n v="315"/>
    <n v="315"/>
    <n v="0"/>
    <x v="9"/>
    <d v="2026-08-11T00:00:00"/>
    <x v="0"/>
    <s v="NF 03"/>
  </r>
  <r>
    <n v="3"/>
    <d v="2026-03-07T00:00:00"/>
    <s v="VANESSA "/>
    <s v="BAHIA "/>
    <x v="47"/>
    <x v="43"/>
    <s v="INSUMO"/>
    <s v="CALÇO"/>
    <x v="55"/>
    <x v="34"/>
    <s v="MO 34L"/>
    <n v="160"/>
    <n v="160"/>
    <n v="0"/>
    <x v="8"/>
    <d v="2026-08-11T00:00:00"/>
    <x v="0"/>
    <s v="NF 04"/>
  </r>
  <r>
    <n v="3"/>
    <d v="2026-03-07T00:00:00"/>
    <s v="VANESSA "/>
    <s v="BAHIA "/>
    <x v="49"/>
    <x v="41"/>
    <s v="INSUMO"/>
    <s v="ROTULO"/>
    <x v="55"/>
    <x v="34"/>
    <s v="MO 34L"/>
    <n v="477"/>
    <n v="477"/>
    <n v="0"/>
    <x v="0"/>
    <d v="2026-03-27T00:00:00"/>
    <x v="0"/>
    <m/>
  </r>
  <r>
    <n v="3"/>
    <d v="2026-03-07T00:00:00"/>
    <s v="VANESSA "/>
    <s v="BAHIA "/>
    <x v="46"/>
    <x v="42"/>
    <s v="INSUMO"/>
    <s v="CALÇO"/>
    <x v="56"/>
    <x v="35"/>
    <s v="MO 34L"/>
    <n v="16"/>
    <n v="16"/>
    <n v="0"/>
    <x v="8"/>
    <d v="2026-08-11T00:00:00"/>
    <x v="0"/>
    <s v="NF 01"/>
  </r>
  <r>
    <n v="3"/>
    <d v="2026-03-07T00:00:00"/>
    <s v="VANESSA "/>
    <s v="BAHIA "/>
    <x v="47"/>
    <x v="43"/>
    <s v="INSUMO"/>
    <s v="CALÇO"/>
    <x v="56"/>
    <x v="35"/>
    <s v="MO 34L"/>
    <n v="16"/>
    <n v="16"/>
    <n v="0"/>
    <x v="8"/>
    <d v="2026-08-11T00:00:00"/>
    <x v="0"/>
    <s v="NF 01"/>
  </r>
  <r>
    <n v="3"/>
    <d v="2026-03-07T00:00:00"/>
    <s v="VANESSA "/>
    <s v="BAHIA "/>
    <x v="48"/>
    <x v="44"/>
    <s v="INSUMO"/>
    <s v="ROTULO"/>
    <x v="56"/>
    <x v="35"/>
    <s v="MO 34L"/>
    <n v="16"/>
    <m/>
    <n v="-16"/>
    <x v="3"/>
    <m/>
    <x v="2"/>
    <s v="Sem saldo, não pode usar o modelo atual; Fazer pedido por e-mail"/>
  </r>
  <r>
    <n v="3"/>
    <d v="2026-03-07T00:00:00"/>
    <s v="VANESSA "/>
    <s v="BAHIA "/>
    <x v="46"/>
    <x v="42"/>
    <s v="INSUMO"/>
    <s v="CALÇO"/>
    <x v="57"/>
    <x v="35"/>
    <s v="MO 34L"/>
    <n v="64"/>
    <n v="64"/>
    <n v="0"/>
    <x v="8"/>
    <d v="2026-08-11T00:00:00"/>
    <x v="0"/>
    <s v="NF 01"/>
  </r>
  <r>
    <n v="3"/>
    <d v="2026-03-07T00:00:00"/>
    <s v="VANESSA "/>
    <s v="BAHIA "/>
    <x v="47"/>
    <x v="43"/>
    <s v="INSUMO"/>
    <s v="CALÇO"/>
    <x v="57"/>
    <x v="35"/>
    <s v="MO 34L"/>
    <n v="64"/>
    <n v="64"/>
    <n v="0"/>
    <x v="8"/>
    <d v="2026-08-11T00:00:00"/>
    <x v="0"/>
    <s v="NF 01"/>
  </r>
  <r>
    <n v="3"/>
    <d v="2026-03-07T00:00:00"/>
    <s v="VANESSA "/>
    <s v="BAHIA "/>
    <x v="49"/>
    <x v="41"/>
    <s v="INSUMO"/>
    <s v="ROTULO"/>
    <x v="57"/>
    <x v="35"/>
    <s v="MO 34L"/>
    <n v="64"/>
    <n v="64"/>
    <n v="0"/>
    <x v="0"/>
    <d v="2026-03-27T00:00:00"/>
    <x v="0"/>
    <m/>
  </r>
  <r>
    <n v="3"/>
    <d v="2026-03-07T00:00:00"/>
    <s v="VANESSA "/>
    <s v="BAHIA "/>
    <x v="46"/>
    <x v="42"/>
    <s v="INSUMO"/>
    <s v="CALÇO"/>
    <x v="61"/>
    <x v="37"/>
    <s v="MO 34L"/>
    <n v="121"/>
    <n v="121"/>
    <n v="0"/>
    <x v="9"/>
    <d v="2026-08-11T00:00:00"/>
    <x v="0"/>
    <s v="NF 04"/>
  </r>
  <r>
    <n v="3"/>
    <d v="2026-03-07T00:00:00"/>
    <s v="VANESSA "/>
    <s v="BAHIA "/>
    <x v="47"/>
    <x v="43"/>
    <s v="INSUMO"/>
    <s v="CALÇO"/>
    <x v="61"/>
    <x v="37"/>
    <s v="MO 34L"/>
    <n v="121"/>
    <n v="121"/>
    <n v="0"/>
    <x v="8"/>
    <d v="2026-08-11T00:00:00"/>
    <x v="0"/>
    <s v="NF 04"/>
  </r>
  <r>
    <n v="3"/>
    <d v="2026-03-07T00:00:00"/>
    <s v="VANESSA "/>
    <s v="BAHIA "/>
    <x v="51"/>
    <x v="45"/>
    <s v="INSUMO"/>
    <s v="ROTULO"/>
    <x v="61"/>
    <x v="37"/>
    <s v="MO 34L"/>
    <n v="121"/>
    <n v="121"/>
    <n v="0"/>
    <x v="0"/>
    <d v="2026-03-27T00:00:00"/>
    <x v="0"/>
    <m/>
  </r>
  <r>
    <n v="3"/>
    <d v="2026-03-07T00:00:00"/>
    <s v="VANESSA "/>
    <s v="BAHIA "/>
    <x v="55"/>
    <x v="49"/>
    <s v="INSUMO"/>
    <s v="ROTULO"/>
    <x v="66"/>
    <x v="42"/>
    <s v="T1W"/>
    <n v="548"/>
    <n v="548"/>
    <n v="0"/>
    <x v="0"/>
    <d v="2026-04-10T00:00:00"/>
    <x v="0"/>
    <m/>
  </r>
  <r>
    <n v="3"/>
    <d v="2026-03-07T00:00:00"/>
    <s v="VANESSA "/>
    <s v="BAHIA "/>
    <x v="57"/>
    <x v="51"/>
    <s v="INSUMO"/>
    <s v="ROTULO"/>
    <x v="68"/>
    <x v="44"/>
    <s v="T2W"/>
    <n v="400"/>
    <n v="400"/>
    <n v="0"/>
    <x v="10"/>
    <d v="2026-04-10T00:00:00"/>
    <x v="0"/>
    <m/>
  </r>
  <r>
    <n v="3"/>
    <d v="2026-03-07T00:00:00"/>
    <s v="VANESSA "/>
    <s v="BAHIA "/>
    <x v="57"/>
    <x v="51"/>
    <s v="INSUMO"/>
    <s v="ROTULO"/>
    <x v="68"/>
    <x v="44"/>
    <s v="T2W"/>
    <n v="1146"/>
    <n v="1146"/>
    <n v="0"/>
    <x v="10"/>
    <d v="2026-04-13T00:00:00"/>
    <x v="0"/>
    <m/>
  </r>
  <r>
    <n v="3"/>
    <d v="2026-03-07T00:00:00"/>
    <s v="VANESSA "/>
    <s v="BAHIA "/>
    <x v="57"/>
    <x v="51"/>
    <s v="INSUMO"/>
    <s v="ROTULO"/>
    <x v="68"/>
    <x v="44"/>
    <s v="T2W"/>
    <n v="1042"/>
    <n v="1042"/>
    <n v="0"/>
    <x v="10"/>
    <d v="2026-04-24T00:00:00"/>
    <x v="0"/>
    <m/>
  </r>
  <r>
    <n v="3"/>
    <d v="2026-03-07T00:00:00"/>
    <s v="VANESSA "/>
    <s v="BAHIA "/>
    <x v="56"/>
    <x v="50"/>
    <s v="EMBALAGEM "/>
    <s v="CAIXA INDIVIDUAL"/>
    <x v="66"/>
    <x v="42"/>
    <s v="T1W"/>
    <n v="274"/>
    <n v="274"/>
    <n v="0"/>
    <x v="0"/>
    <d v="2026-04-10T00:00:00"/>
    <x v="0"/>
    <m/>
  </r>
  <r>
    <n v="3"/>
    <d v="2026-03-07T00:00:00"/>
    <s v="VANESSA "/>
    <s v="BAHIA "/>
    <x v="59"/>
    <x v="52"/>
    <s v="EMBALAGEM "/>
    <s v="CAIXA INDIVIDUAL"/>
    <x v="68"/>
    <x v="44"/>
    <s v="T2W"/>
    <n v="200"/>
    <n v="200"/>
    <n v="0"/>
    <x v="10"/>
    <d v="2026-04-10T00:00:00"/>
    <x v="0"/>
    <m/>
  </r>
  <r>
    <n v="3"/>
    <d v="2026-03-07T00:00:00"/>
    <s v="VANESSA "/>
    <s v="BAHIA "/>
    <x v="59"/>
    <x v="52"/>
    <s v="EMBALAGEM "/>
    <s v="CAIXA INDIVIDUAL"/>
    <x v="68"/>
    <x v="44"/>
    <s v="T2W"/>
    <n v="573"/>
    <n v="573"/>
    <n v="0"/>
    <x v="10"/>
    <d v="2026-04-13T00:00:00"/>
    <x v="0"/>
    <m/>
  </r>
  <r>
    <n v="3"/>
    <d v="2026-03-07T00:00:00"/>
    <s v="VANESSA "/>
    <s v="BAHIA "/>
    <x v="59"/>
    <x v="52"/>
    <s v="EMBALAGEM "/>
    <s v="CAIXA INDIVIDUAL"/>
    <x v="68"/>
    <x v="44"/>
    <s v="T2W"/>
    <n v="521"/>
    <n v="521"/>
    <n v="0"/>
    <x v="10"/>
    <d v="2026-04-24T00:00:00"/>
    <x v="0"/>
    <m/>
  </r>
  <r>
    <n v="3"/>
    <d v="2026-03-07T00:00:00"/>
    <s v="VANESSA "/>
    <s v="BAHIA "/>
    <x v="60"/>
    <x v="53"/>
    <s v="INSUMO"/>
    <s v="ROTULO"/>
    <x v="69"/>
    <x v="45"/>
    <s v="TM1200"/>
    <n v="256"/>
    <n v="256"/>
    <n v="0"/>
    <x v="0"/>
    <d v="2026-04-10T00:00:00"/>
    <x v="0"/>
    <m/>
  </r>
  <r>
    <n v="3"/>
    <d v="2026-03-07T00:00:00"/>
    <s v="VANESSA "/>
    <s v="BAHIA "/>
    <x v="62"/>
    <x v="55"/>
    <s v="INSUMO"/>
    <s v="ROTULO"/>
    <x v="70"/>
    <x v="46"/>
    <s v="TM2200"/>
    <n v="174"/>
    <n v="174"/>
    <n v="0"/>
    <x v="0"/>
    <d v="2026-04-10T00:00:00"/>
    <x v="0"/>
    <m/>
  </r>
  <r>
    <n v="3"/>
    <d v="2026-03-07T00:00:00"/>
    <s v="VANESSA "/>
    <s v="BAHIA "/>
    <x v="61"/>
    <x v="54"/>
    <s v="EMBALAGEM "/>
    <s v="CAIXA INDIVIDUAL"/>
    <x v="69"/>
    <x v="45"/>
    <s v="TM1200"/>
    <n v="128"/>
    <n v="128"/>
    <n v="0"/>
    <x v="0"/>
    <d v="2026-04-10T00:00:00"/>
    <x v="0"/>
    <m/>
  </r>
  <r>
    <n v="3"/>
    <d v="2026-03-07T00:00:00"/>
    <s v="VANESSA "/>
    <s v="BAHIA "/>
    <x v="63"/>
    <x v="56"/>
    <s v="EMBALAGEM "/>
    <s v="CAIXA INDIVIDUAL"/>
    <x v="70"/>
    <x v="46"/>
    <s v="TM2200"/>
    <n v="87"/>
    <n v="87"/>
    <n v="0"/>
    <x v="0"/>
    <d v="2026-04-10T00:00:00"/>
    <x v="0"/>
    <m/>
  </r>
  <r>
    <n v="3"/>
    <d v="2026-03-07T00:00:00"/>
    <s v="VANESSA "/>
    <s v="BAHIA "/>
    <x v="65"/>
    <x v="57"/>
    <s v="EMBALAGEM "/>
    <s v="CAIXA INDIVIDUAL"/>
    <x v="71"/>
    <x v="47"/>
    <s v="TV 32 ANDROID"/>
    <n v="1049"/>
    <n v="1049"/>
    <n v="0"/>
    <x v="0"/>
    <d v="2026-03-23T00:00:00"/>
    <x v="0"/>
    <m/>
  </r>
  <r>
    <n v="3"/>
    <d v="2026-03-07T00:00:00"/>
    <s v="VANESSA "/>
    <s v="BAHIA "/>
    <x v="67"/>
    <x v="58"/>
    <s v="EMBALAGEM "/>
    <s v="CAIXA INDIVIDUAL"/>
    <x v="74"/>
    <x v="48"/>
    <s v="TV 43 ANDROID"/>
    <n v="250"/>
    <n v="250"/>
    <n v="0"/>
    <x v="4"/>
    <d v="2026-05-18T00:00:00"/>
    <x v="0"/>
    <m/>
  </r>
  <r>
    <n v="3"/>
    <d v="2026-03-07T00:00:00"/>
    <s v="VANESSA "/>
    <s v="BAHIA "/>
    <x v="68"/>
    <x v="59"/>
    <s v="EMBALAGEM "/>
    <s v="CAIXA INDIVIDUAL"/>
    <x v="76"/>
    <x v="49"/>
    <s v="TV 50 ANDROID"/>
    <n v="53"/>
    <n v="53"/>
    <n v="0"/>
    <x v="0"/>
    <d v="2026-03-23T00:00:00"/>
    <x v="0"/>
    <m/>
  </r>
  <r>
    <n v="3"/>
    <d v="2026-03-07T00:00:00"/>
    <s v="VANESSA "/>
    <s v="BAHIA "/>
    <x v="71"/>
    <x v="60"/>
    <s v="EMBALAGEM "/>
    <s v="CAIXA INDIVIDUAL"/>
    <x v="79"/>
    <x v="51"/>
    <s v="TV 55 ANDROID"/>
    <n v="135"/>
    <n v="135"/>
    <n v="0"/>
    <x v="0"/>
    <d v="2026-03-23T00:00:00"/>
    <x v="0"/>
    <m/>
  </r>
  <r>
    <n v="3"/>
    <d v="2026-03-07T00:00:00"/>
    <s v="VANESSA "/>
    <s v="BAHIA "/>
    <x v="71"/>
    <x v="60"/>
    <s v="EMBALAGEM "/>
    <s v="CAIXA INDIVIDUAL"/>
    <x v="78"/>
    <x v="51"/>
    <s v="TV 55 ANDROID"/>
    <n v="24"/>
    <n v="24"/>
    <n v="0"/>
    <x v="0"/>
    <d v="2026-04-10T00:00:00"/>
    <x v="0"/>
    <m/>
  </r>
  <r>
    <n v="3"/>
    <d v="2026-03-07T00:00:00"/>
    <s v="VANESSA "/>
    <s v="BAHIA "/>
    <x v="72"/>
    <x v="61"/>
    <s v="EMBALAGEM "/>
    <s v="CAIXA INDIVIDUAL"/>
    <x v="80"/>
    <x v="52"/>
    <s v="TV 65"/>
    <n v="1"/>
    <n v="1"/>
    <n v="0"/>
    <x v="0"/>
    <d v="2026-03-27T00:00:00"/>
    <x v="0"/>
    <m/>
  </r>
  <r>
    <n v="3"/>
    <d v="2026-03-07T00:00:00"/>
    <s v="VANESSA "/>
    <s v="BAHIA "/>
    <x v="46"/>
    <x v="42"/>
    <s v="INSUMO"/>
    <s v="CALÇO"/>
    <x v="55"/>
    <x v="34"/>
    <s v="MO 34L"/>
    <n v="160"/>
    <n v="160"/>
    <n v="0"/>
    <x v="9"/>
    <d v="2026-08-11T00:00:00"/>
    <x v="0"/>
    <s v="NF 04"/>
  </r>
  <r>
    <n v="3"/>
    <d v="2026-03-07T00:00:00"/>
    <s v="VANESSA "/>
    <s v="BAHIA "/>
    <x v="46"/>
    <x v="42"/>
    <s v="INSUMO"/>
    <s v="CALÇO"/>
    <x v="55"/>
    <x v="34"/>
    <s v="MO 34L"/>
    <n v="2"/>
    <n v="4"/>
    <n v="2"/>
    <x v="12"/>
    <d v="2026-08-19T00:00:00"/>
    <x v="0"/>
    <s v="NF 10"/>
  </r>
  <r>
    <n v="3"/>
    <d v="2026-03-07T00:00:00"/>
    <s v="VANESSA "/>
    <s v="BAHIA "/>
    <x v="47"/>
    <x v="43"/>
    <s v="INSUMO"/>
    <s v="CALÇO"/>
    <x v="55"/>
    <x v="34"/>
    <s v="MO 34L"/>
    <n v="2"/>
    <n v="4"/>
    <n v="2"/>
    <x v="12"/>
    <d v="2026-08-19T00:00:00"/>
    <x v="0"/>
    <s v="NF 10"/>
  </r>
  <r>
    <n v="4"/>
    <d v="2026-03-26T00:00:00"/>
    <s v="MARCELA "/>
    <s v="JTD TRANSPORTES "/>
    <x v="16"/>
    <x v="16"/>
    <s v="EMBALAGEM "/>
    <s v="CAIXA INDIVIDUAL"/>
    <x v="21"/>
    <x v="13"/>
    <s v="CM400"/>
    <n v="500"/>
    <n v="500"/>
    <n v="0"/>
    <x v="4"/>
    <d v="2026-05-18T00:00:00"/>
    <x v="0"/>
    <m/>
  </r>
  <r>
    <n v="4"/>
    <d v="2026-03-26T00:00:00"/>
    <s v="MARCELA "/>
    <s v="JTD TRANSPORTES "/>
    <x v="25"/>
    <x v="23"/>
    <s v="EMBALAGEM "/>
    <s v="CAIXA INDIVIDUAL"/>
    <x v="34"/>
    <x v="18"/>
    <s v="CM 700"/>
    <n v="400"/>
    <n v="400"/>
    <n v="0"/>
    <x v="15"/>
    <d v="2026-06-19T00:00:00"/>
    <x v="0"/>
    <m/>
  </r>
  <r>
    <n v="4"/>
    <d v="2026-03-26T00:00:00"/>
    <s v="MARCELA "/>
    <s v="JTD TRANSPORTES "/>
    <x v="24"/>
    <x v="22"/>
    <s v="INSUMO"/>
    <s v="ROTULO"/>
    <x v="34"/>
    <x v="18"/>
    <s v="CM 700"/>
    <n v="400"/>
    <n v="400"/>
    <n v="0"/>
    <x v="15"/>
    <d v="2026-06-19T00:00:00"/>
    <x v="0"/>
    <m/>
  </r>
  <r>
    <n v="4"/>
    <d v="2026-03-26T00:00:00"/>
    <s v="MARCELA "/>
    <s v="JTD TRANSPORTES "/>
    <x v="21"/>
    <x v="20"/>
    <s v="EMBALAGEM "/>
    <s v="CAIXA INDIVIDUAL"/>
    <x v="30"/>
    <x v="16"/>
    <s v="CM 550"/>
    <n v="500"/>
    <n v="500"/>
    <n v="0"/>
    <x v="6"/>
    <d v="2026-07-01T00:00:00"/>
    <x v="0"/>
    <m/>
  </r>
  <r>
    <n v="4"/>
    <d v="2026-03-26T00:00:00"/>
    <s v="MARCELA "/>
    <s v="JTD TRANSPORTES "/>
    <x v="23"/>
    <x v="21"/>
    <s v="EMBALAGEM "/>
    <s v="CAIXA INDIVIDUAL"/>
    <x v="31"/>
    <x v="17"/>
    <s v="CM 550L"/>
    <n v="500"/>
    <n v="500"/>
    <n v="0"/>
    <x v="4"/>
    <d v="2026-05-18T00:00:00"/>
    <x v="0"/>
    <m/>
  </r>
  <r>
    <n v="4"/>
    <d v="2026-03-26T00:00:00"/>
    <s v="MARCELA "/>
    <s v="JTD TRANSPORTES "/>
    <x v="0"/>
    <x v="0"/>
    <s v="EMBALAGEM "/>
    <s v="CAIXA INDIVIDUAL"/>
    <x v="0"/>
    <x v="0"/>
    <s v="BBS PRETO"/>
    <n v="900"/>
    <n v="900"/>
    <n v="0"/>
    <x v="15"/>
    <d v="2026-06-19T00:00:00"/>
    <x v="0"/>
    <m/>
  </r>
  <r>
    <n v="4"/>
    <d v="2026-03-26T00:00:00"/>
    <s v="MARCELA "/>
    <s v="JTD TRANSPORTES "/>
    <x v="7"/>
    <x v="7"/>
    <s v="EMBALAGEM "/>
    <s v="CAIXA INDIVIDUAL"/>
    <x v="10"/>
    <x v="6"/>
    <s v="BBS LBL"/>
    <n v="200"/>
    <n v="200"/>
    <n v="0"/>
    <x v="4"/>
    <d v="2026-05-18T00:00:00"/>
    <x v="0"/>
    <m/>
  </r>
  <r>
    <n v="4"/>
    <d v="2026-03-26T00:00:00"/>
    <s v="MARCELA "/>
    <s v="JTD TRANSPORTES "/>
    <x v="12"/>
    <x v="12"/>
    <s v="EMBALAGEM "/>
    <s v="CAIXA INDIVIDUAL"/>
    <x v="16"/>
    <x v="10"/>
    <s v="CM150"/>
    <n v="300"/>
    <n v="300"/>
    <n v="0"/>
    <x v="4"/>
    <d v="2026-05-18T00:00:00"/>
    <x v="0"/>
    <m/>
  </r>
  <r>
    <n v="5"/>
    <d v="2026-04-17T00:00:00"/>
    <s v="MARCIO "/>
    <s v="CAJAMAR"/>
    <x v="78"/>
    <x v="65"/>
    <s v="INSUMO"/>
    <s v="LACRE"/>
    <x v="80"/>
    <x v="52"/>
    <s v="TV 65"/>
    <n v="12"/>
    <n v="12"/>
    <n v="0"/>
    <x v="16"/>
    <d v="2026-04-24T00:00:00"/>
    <x v="0"/>
    <m/>
  </r>
  <r>
    <n v="6"/>
    <d v="2026-04-22T00:00:00"/>
    <s v="JAQUELINE"/>
    <s v="BAHIA "/>
    <x v="65"/>
    <x v="57"/>
    <s v="EMBALAGEM "/>
    <s v="CAIXA INDIVIDUAL"/>
    <x v="72"/>
    <x v="47"/>
    <s v="TV 32 ANDROID"/>
    <n v="397"/>
    <n v="397"/>
    <n v="0"/>
    <x v="4"/>
    <d v="2026-05-18T00:00:00"/>
    <x v="0"/>
    <m/>
  </r>
  <r>
    <n v="6"/>
    <d v="2026-04-22T00:00:00"/>
    <s v="JAQUELINE"/>
    <s v="BAHIA "/>
    <x v="68"/>
    <x v="59"/>
    <s v="EMBALAGEM "/>
    <s v="CAIXA INDIVIDUAL"/>
    <x v="76"/>
    <x v="49"/>
    <s v="TV 50 ANDROID"/>
    <n v="22"/>
    <n v="22"/>
    <n v="0"/>
    <x v="4"/>
    <d v="2026-05-18T00:00:00"/>
    <x v="0"/>
    <m/>
  </r>
  <r>
    <n v="6"/>
    <d v="2026-04-22T00:00:00"/>
    <s v="JAQUELINE"/>
    <s v="BAHIA "/>
    <x v="71"/>
    <x v="60"/>
    <s v="EMBALAGEM "/>
    <s v="CAIXA INDIVIDUAL"/>
    <x v="79"/>
    <x v="51"/>
    <s v="TV 55 ANDROID"/>
    <n v="33"/>
    <m/>
    <n v="-33"/>
    <x v="12"/>
    <d v="2026-08-24T00:00:00"/>
    <x v="3"/>
    <s v="Fazer reserva "/>
  </r>
  <r>
    <n v="6"/>
    <d v="2026-04-22T00:00:00"/>
    <s v="JAQUELINE"/>
    <s v="BAHIA "/>
    <x v="71"/>
    <x v="60"/>
    <s v="EMBALAGEM "/>
    <s v="CAIXA INDIVIDUAL"/>
    <x v="79"/>
    <x v="51"/>
    <s v="TV 55 ANDROID"/>
    <n v="15"/>
    <n v="15"/>
    <n v="0"/>
    <x v="4"/>
    <d v="2026-05-18T00:00:00"/>
    <x v="0"/>
    <m/>
  </r>
  <r>
    <n v="7"/>
    <d v="2026-05-15T00:00:00"/>
    <s v="MARCELA "/>
    <s v="JTD TRANSPORTES "/>
    <x v="71"/>
    <x v="60"/>
    <s v="EMBALAGEM "/>
    <s v="CAIXA INDIVIDUAL"/>
    <x v="79"/>
    <x v="51"/>
    <s v="TV 55 ANDROID"/>
    <n v="257"/>
    <n v="257"/>
    <n v="0"/>
    <x v="4"/>
    <d v="2026-05-18T00:00:00"/>
    <x v="0"/>
    <m/>
  </r>
  <r>
    <n v="8"/>
    <d v="2026-05-19T00:00:00"/>
    <s v="HERISON"/>
    <s v="JTD TRANSPORTES "/>
    <x v="0"/>
    <x v="0"/>
    <s v="EMBALAGEM "/>
    <s v="CAIXA INDIVIDUAL"/>
    <x v="0"/>
    <x v="0"/>
    <s v="BBS PRETO"/>
    <n v="2000"/>
    <n v="2000"/>
    <n v="0"/>
    <x v="17"/>
    <d v="2026-05-27T00:00:00"/>
    <x v="0"/>
    <m/>
  </r>
  <r>
    <n v="9"/>
    <d v="2026-05-19T00:00:00"/>
    <s v="VANESSA "/>
    <s v="BAHIA "/>
    <x v="26"/>
    <x v="24"/>
    <s v="EMBALAGEM "/>
    <s v="CAIXA INDIVIDUAL"/>
    <x v="35"/>
    <x v="19"/>
    <s v="MCO 14"/>
    <n v="150"/>
    <m/>
    <n v="-150"/>
    <x v="2"/>
    <s v="TBC"/>
    <x v="1"/>
    <m/>
  </r>
  <r>
    <n v="9"/>
    <d v="2026-05-19T00:00:00"/>
    <s v="VANESSA "/>
    <s v="BAHIA "/>
    <x v="79"/>
    <x v="66"/>
    <s v="EMBALAGEM "/>
    <s v="CAIXA COLETIVA"/>
    <x v="35"/>
    <x v="19"/>
    <s v="MCO 14"/>
    <n v="38"/>
    <m/>
    <n v="-38"/>
    <x v="2"/>
    <s v="TBC"/>
    <x v="1"/>
    <m/>
  </r>
  <r>
    <n v="9"/>
    <d v="2026-05-19T00:00:00"/>
    <s v="VANESSA "/>
    <s v="BAHIA "/>
    <x v="18"/>
    <x v="16"/>
    <s v="EMBALAGEM "/>
    <s v="CAIXA INDIVIDUAL"/>
    <x v="24"/>
    <x v="13"/>
    <s v="CM 400"/>
    <n v="162"/>
    <m/>
    <n v="-162"/>
    <x v="3"/>
    <m/>
    <x v="2"/>
    <s v="Solicitar compra por e-mail"/>
  </r>
  <r>
    <n v="9"/>
    <d v="2026-05-19T00:00:00"/>
    <s v="VANESSA "/>
    <s v="BAHIA "/>
    <x v="16"/>
    <x v="16"/>
    <s v="EMBALAGEM "/>
    <s v="CAIXA INDIVIDUAL"/>
    <x v="22"/>
    <x v="13"/>
    <s v="CM400"/>
    <n v="300"/>
    <n v="300"/>
    <n v="0"/>
    <x v="8"/>
    <d v="2026-08-11T00:00:00"/>
    <x v="0"/>
    <s v="NF 01"/>
  </r>
  <r>
    <n v="9"/>
    <d v="2026-05-19T00:00:00"/>
    <s v="VANESSA "/>
    <s v="BAHIA "/>
    <x v="16"/>
    <x v="16"/>
    <s v="EMBALAGEM "/>
    <s v="CAIXA INDIVIDUAL"/>
    <x v="22"/>
    <x v="13"/>
    <s v="CM400"/>
    <n v="173"/>
    <n v="173"/>
    <n v="0"/>
    <x v="9"/>
    <d v="2026-08-11T00:00:00"/>
    <x v="0"/>
    <s v="NF 03"/>
  </r>
  <r>
    <n v="9"/>
    <d v="2026-05-19T00:00:00"/>
    <s v="VANESSA "/>
    <s v="BAHIA "/>
    <x v="16"/>
    <x v="16"/>
    <s v="EMBALAGEM "/>
    <s v="CAIXA INDIVIDUAL"/>
    <x v="22"/>
    <x v="13"/>
    <s v="CM400"/>
    <n v="300"/>
    <n v="300"/>
    <n v="0"/>
    <x v="9"/>
    <d v="2026-08-11T00:00:00"/>
    <x v="0"/>
    <s v="NF 02"/>
  </r>
  <r>
    <n v="9"/>
    <d v="2026-05-19T00:00:00"/>
    <s v="VANESSA "/>
    <s v="BAHIA "/>
    <x v="16"/>
    <x v="16"/>
    <s v="EMBALAGEM "/>
    <s v="CAIXA INDIVIDUAL"/>
    <x v="21"/>
    <x v="13"/>
    <s v="CM400"/>
    <n v="127"/>
    <n v="127"/>
    <n v="0"/>
    <x v="9"/>
    <d v="2026-08-11T00:00:00"/>
    <x v="0"/>
    <s v="NF 03"/>
  </r>
  <r>
    <n v="9"/>
    <d v="2026-05-19T00:00:00"/>
    <s v="VANESSA "/>
    <s v="BAHIA "/>
    <x v="15"/>
    <x v="15"/>
    <s v="EMBALAGEM "/>
    <s v="CAIXA COLETIVA"/>
    <x v="19"/>
    <x v="12"/>
    <s v="CM 250"/>
    <n v="7"/>
    <m/>
    <n v="-7"/>
    <x v="3"/>
    <m/>
    <x v="2"/>
    <s v="Solicitar compra por e-mail"/>
  </r>
  <r>
    <n v="9"/>
    <d v="2026-05-19T00:00:00"/>
    <s v="VANESSA "/>
    <s v="BAHIA "/>
    <x v="15"/>
    <x v="15"/>
    <s v="EMBALAGEM "/>
    <s v="CAIXA COLETIVA"/>
    <x v="19"/>
    <x v="12"/>
    <s v="CM 250"/>
    <n v="29"/>
    <m/>
    <n v="-29"/>
    <x v="3"/>
    <m/>
    <x v="2"/>
    <s v="Solicitar compra por e-mail"/>
  </r>
  <r>
    <n v="9"/>
    <d v="2026-05-19T00:00:00"/>
    <s v="VANESSA "/>
    <s v="BAHIA "/>
    <x v="75"/>
    <x v="14"/>
    <s v="EMBALAGEM "/>
    <s v="CAIXA INDIVIDUAL"/>
    <x v="20"/>
    <x v="12"/>
    <s v="CM 250"/>
    <n v="511"/>
    <n v="551"/>
    <n v="40"/>
    <x v="1"/>
    <d v="2026-08-13T00:00:00"/>
    <x v="0"/>
    <s v="NF 07"/>
  </r>
  <r>
    <n v="9"/>
    <d v="2026-05-19T00:00:00"/>
    <s v="VANESSA "/>
    <s v="BAHIA "/>
    <x v="15"/>
    <x v="15"/>
    <s v="EMBALAGEM "/>
    <s v="CAIXA COLETIVA"/>
    <x v="20"/>
    <x v="12"/>
    <s v="CM 250"/>
    <n v="128"/>
    <m/>
    <n v="-128"/>
    <x v="3"/>
    <m/>
    <x v="2"/>
    <s v="Solicitar compra por e-mail"/>
  </r>
  <r>
    <n v="9"/>
    <d v="2026-05-19T00:00:00"/>
    <s v="VANESSA "/>
    <s v="BAHIA "/>
    <x v="62"/>
    <x v="55"/>
    <s v="INSUMO"/>
    <s v="ROTULO"/>
    <x v="70"/>
    <x v="46"/>
    <s v="TM2200"/>
    <n v="12"/>
    <m/>
    <n v="-12"/>
    <x v="1"/>
    <d v="2026-08-24T00:00:00"/>
    <x v="3"/>
    <s v="Fazer reserva "/>
  </r>
  <r>
    <n v="9"/>
    <d v="2026-05-19T00:00:00"/>
    <s v="VANESSA "/>
    <s v="BAHIA "/>
    <x v="63"/>
    <x v="56"/>
    <s v="EMBALAGEM "/>
    <s v="CAIXA INDIVIDUAL"/>
    <x v="70"/>
    <x v="46"/>
    <s v="TM2200"/>
    <n v="6"/>
    <m/>
    <n v="-6"/>
    <x v="1"/>
    <d v="2026-08-24T00:00:00"/>
    <x v="3"/>
    <s v="Fazer reserva "/>
  </r>
  <r>
    <n v="9"/>
    <d v="2026-05-19T00:00:00"/>
    <s v="VANESSA "/>
    <s v="BAHIA "/>
    <x v="22"/>
    <x v="20"/>
    <s v="EMBALAGEM "/>
    <s v="CAIXA INDIVIDUAL"/>
    <x v="27"/>
    <x v="16"/>
    <s v="CM 550"/>
    <n v="357"/>
    <n v="357"/>
    <n v="0"/>
    <x v="6"/>
    <d v="2026-07-01T00:00:00"/>
    <x v="0"/>
    <m/>
  </r>
  <r>
    <n v="9"/>
    <d v="2026-05-19T00:00:00"/>
    <s v="VANESSA "/>
    <s v="BAHIA "/>
    <x v="22"/>
    <x v="20"/>
    <s v="EMBALAGEM "/>
    <s v="CAIXA INDIVIDUAL"/>
    <x v="28"/>
    <x v="16"/>
    <s v="CM 550"/>
    <n v="2"/>
    <n v="2"/>
    <n v="0"/>
    <x v="6"/>
    <d v="2026-07-01T00:00:00"/>
    <x v="0"/>
    <m/>
  </r>
  <r>
    <n v="9"/>
    <d v="2026-05-19T00:00:00"/>
    <s v="VANESSA "/>
    <s v="BAHIA "/>
    <x v="22"/>
    <x v="20"/>
    <s v="EMBALAGEM "/>
    <s v="CAIXA INDIVIDUAL"/>
    <x v="29"/>
    <x v="16"/>
    <s v="CM 550"/>
    <n v="13"/>
    <n v="13"/>
    <n v="0"/>
    <x v="6"/>
    <d v="2026-07-01T00:00:00"/>
    <x v="0"/>
    <m/>
  </r>
  <r>
    <n v="9"/>
    <d v="2026-05-19T00:00:00"/>
    <s v="VANESSA "/>
    <s v="BAHIA "/>
    <x v="22"/>
    <x v="20"/>
    <s v="EMBALAGEM "/>
    <s v="CAIXA INDIVIDUAL"/>
    <x v="30"/>
    <x v="16"/>
    <s v="CM 550"/>
    <n v="736"/>
    <n v="736"/>
    <n v="0"/>
    <x v="6"/>
    <d v="2026-07-01T00:00:00"/>
    <x v="0"/>
    <m/>
  </r>
  <r>
    <n v="9"/>
    <d v="2026-05-19T00:00:00"/>
    <s v="VANESSA "/>
    <s v="BAHIA "/>
    <x v="22"/>
    <x v="20"/>
    <s v="EMBALAGEM "/>
    <s v="CAIXA INDIVIDUAL"/>
    <x v="30"/>
    <x v="16"/>
    <s v="CM 550"/>
    <n v="130"/>
    <n v="130"/>
    <n v="0"/>
    <x v="6"/>
    <d v="2026-07-01T00:00:00"/>
    <x v="0"/>
    <m/>
  </r>
  <r>
    <n v="9"/>
    <d v="2026-05-19T00:00:00"/>
    <s v="VANESSA "/>
    <s v="BAHIA "/>
    <x v="22"/>
    <x v="20"/>
    <s v="EMBALAGEM "/>
    <s v="CAIXA INDIVIDUAL"/>
    <x v="30"/>
    <x v="16"/>
    <s v="CM 550"/>
    <n v="70"/>
    <m/>
    <n v="-70"/>
    <x v="3"/>
    <m/>
    <x v="2"/>
    <s v="Solicitar compra por e-mail"/>
  </r>
  <r>
    <n v="9"/>
    <d v="2026-05-19T00:00:00"/>
    <s v="VANESSA "/>
    <s v="BAHIA "/>
    <x v="80"/>
    <x v="67"/>
    <s v="EMBALAGEM "/>
    <s v="CAIXA INDIVIDUAL"/>
    <x v="85"/>
    <x v="56"/>
    <s v="TV 43 BL "/>
    <n v="1"/>
    <m/>
    <n v="-1"/>
    <x v="3"/>
    <m/>
    <x v="1"/>
    <m/>
  </r>
  <r>
    <n v="9"/>
    <d v="2026-05-19T00:00:00"/>
    <s v="VANESSA "/>
    <s v="BAHIA "/>
    <x v="0"/>
    <x v="0"/>
    <s v="EMBALAGEM "/>
    <s v="CAIXA INDIVIDUAL"/>
    <x v="0"/>
    <x v="0"/>
    <s v="BBS PRETO"/>
    <n v="150"/>
    <n v="150"/>
    <n v="0"/>
    <x v="9"/>
    <d v="2026-08-13T00:00:00"/>
    <x v="0"/>
    <s v="NF 05"/>
  </r>
  <r>
    <n v="9"/>
    <d v="2026-05-19T00:00:00"/>
    <s v="VANESSA "/>
    <s v="BAHIA "/>
    <x v="68"/>
    <x v="59"/>
    <s v="EMBALAGEM "/>
    <s v="CAIXA INDIVIDUAL"/>
    <x v="76"/>
    <x v="49"/>
    <s v="TV 50 ANDROID"/>
    <n v="99"/>
    <m/>
    <n v="-99"/>
    <x v="3"/>
    <d v="2026-08-24T00:00:00"/>
    <x v="3"/>
    <s v="Trazer supplog-Solicitado"/>
  </r>
  <r>
    <n v="9"/>
    <d v="2026-05-19T00:00:00"/>
    <s v="VANESSA "/>
    <s v="BAHIA "/>
    <x v="68"/>
    <x v="59"/>
    <s v="EMBALAGEM "/>
    <s v="CAIXA INDIVIDUAL"/>
    <x v="76"/>
    <x v="49"/>
    <s v="TV 50 ANDROID"/>
    <n v="793"/>
    <m/>
    <n v="-793"/>
    <x v="3"/>
    <d v="2026-08-24T00:00:00"/>
    <x v="3"/>
    <s v="Trazer supplog-Solicitado"/>
  </r>
  <r>
    <n v="9"/>
    <d v="2026-05-19T00:00:00"/>
    <s v="VANESSA "/>
    <s v="BAHIA "/>
    <x v="55"/>
    <x v="49"/>
    <s v="INSUMO"/>
    <s v="ROTULO"/>
    <x v="66"/>
    <x v="42"/>
    <s v="T1W"/>
    <n v="60"/>
    <m/>
    <n v="-60"/>
    <x v="3"/>
    <d v="2026-08-24T00:00:00"/>
    <x v="3"/>
    <s v="Fazer reserva "/>
  </r>
  <r>
    <n v="9"/>
    <d v="2026-05-19T00:00:00"/>
    <s v="VANESSA "/>
    <s v="BAHIA "/>
    <x v="56"/>
    <x v="50"/>
    <s v="EMBALAGEM "/>
    <s v="CAIXA INDIVIDUAL"/>
    <x v="66"/>
    <x v="42"/>
    <s v="T1W"/>
    <n v="30"/>
    <m/>
    <n v="-30"/>
    <x v="3"/>
    <d v="2026-08-24T00:00:00"/>
    <x v="3"/>
    <s v="Fazer reserva "/>
  </r>
  <r>
    <n v="9"/>
    <d v="2026-05-19T00:00:00"/>
    <s v="VANESSA "/>
    <s v="BAHIA "/>
    <x v="12"/>
    <x v="12"/>
    <s v="EMBALAGEM "/>
    <s v="CAIXA INDIVIDUAL"/>
    <x v="15"/>
    <x v="10"/>
    <s v="CM150"/>
    <n v="62"/>
    <n v="62"/>
    <n v="0"/>
    <x v="1"/>
    <d v="2026-08-13T00:00:00"/>
    <x v="0"/>
    <s v="NF 07"/>
  </r>
  <r>
    <n v="9"/>
    <d v="2026-05-19T00:00:00"/>
    <s v="VANESSA "/>
    <s v="BAHIA "/>
    <x v="12"/>
    <x v="12"/>
    <s v="EMBALAGEM "/>
    <s v="CAIXA INDIVIDUAL"/>
    <x v="15"/>
    <x v="10"/>
    <s v="CM150"/>
    <n v="159"/>
    <n v="159"/>
    <n v="0"/>
    <x v="1"/>
    <d v="2026-08-13T00:00:00"/>
    <x v="0"/>
    <s v="NF 07"/>
  </r>
  <r>
    <n v="9"/>
    <d v="2026-05-19T00:00:00"/>
    <s v="VANESSA "/>
    <s v="BAHIA "/>
    <x v="12"/>
    <x v="12"/>
    <s v="EMBALAGEM "/>
    <s v="CAIXA INDIVIDUAL"/>
    <x v="16"/>
    <x v="10"/>
    <s v="CM150"/>
    <n v="767"/>
    <n v="767"/>
    <n v="0"/>
    <x v="1"/>
    <d v="2026-08-13T00:00:00"/>
    <x v="0"/>
    <s v="NF 07"/>
  </r>
  <r>
    <n v="9"/>
    <d v="2026-05-19T00:00:00"/>
    <s v="VANESSA "/>
    <s v="BAHIA "/>
    <x v="12"/>
    <x v="12"/>
    <s v="EMBALAGEM "/>
    <s v="CAIXA INDIVIDUAL"/>
    <x v="16"/>
    <x v="10"/>
    <s v="CM150"/>
    <n v="82"/>
    <n v="199"/>
    <n v="117"/>
    <x v="1"/>
    <d v="2026-08-13T00:00:00"/>
    <x v="0"/>
    <s v="NF 07"/>
  </r>
  <r>
    <n v="9"/>
    <d v="2026-05-19T00:00:00"/>
    <s v="VANESSA "/>
    <s v="BAHIA "/>
    <x v="71"/>
    <x v="60"/>
    <s v="EMBALAGEM "/>
    <s v="CAIXA INDIVIDUAL"/>
    <x v="79"/>
    <x v="51"/>
    <s v="TV 55 ANDROID"/>
    <n v="116"/>
    <m/>
    <n v="-116"/>
    <x v="12"/>
    <d v="2026-08-24T00:00:00"/>
    <x v="3"/>
    <s v="Fazer reserva "/>
  </r>
  <r>
    <n v="9"/>
    <d v="2026-05-19T00:00:00"/>
    <s v="VANESSA "/>
    <s v="BAHIA "/>
    <x v="40"/>
    <x v="37"/>
    <s v="INSUMO"/>
    <s v="CALÇO"/>
    <x v="44"/>
    <x v="27"/>
    <s v="MO 21L"/>
    <n v="408"/>
    <m/>
    <n v="-408"/>
    <x v="18"/>
    <d v="2026-08-31T00:00:00"/>
    <x v="3"/>
    <s v="Entrega direto na expedição"/>
  </r>
  <r>
    <n v="9"/>
    <d v="2026-05-19T00:00:00"/>
    <s v="VANESSA "/>
    <s v="BAHIA "/>
    <x v="40"/>
    <x v="37"/>
    <s v="INSUMO"/>
    <s v="CALÇO"/>
    <x v="43"/>
    <x v="26"/>
    <s v="MO 21L"/>
    <n v="152"/>
    <m/>
    <n v="-152"/>
    <x v="18"/>
    <d v="2026-08-31T00:00:00"/>
    <x v="3"/>
    <s v="Entrega direto na expedição"/>
  </r>
  <r>
    <n v="9"/>
    <d v="2026-05-19T00:00:00"/>
    <s v="VANESSA "/>
    <s v="BAHIA "/>
    <x v="40"/>
    <x v="37"/>
    <s v="INSUMO"/>
    <s v="CALÇO"/>
    <x v="45"/>
    <x v="27"/>
    <s v="MO 21L"/>
    <n v="165"/>
    <m/>
    <n v="-165"/>
    <x v="18"/>
    <d v="2026-08-31T00:00:00"/>
    <x v="3"/>
    <s v="Entrega direto na expedição"/>
  </r>
  <r>
    <n v="9"/>
    <d v="2026-05-19T00:00:00"/>
    <s v="VANESSA "/>
    <s v="BAHIA "/>
    <x v="40"/>
    <x v="37"/>
    <s v="INSUMO"/>
    <s v="CALÇO"/>
    <x v="45"/>
    <x v="27"/>
    <s v="MO 21L"/>
    <n v="263"/>
    <m/>
    <n v="-263"/>
    <x v="18"/>
    <d v="2026-08-31T00:00:00"/>
    <x v="3"/>
    <s v="Entrega direto na expedição"/>
  </r>
  <r>
    <n v="9"/>
    <d v="2026-05-19T00:00:00"/>
    <s v="VANESSA "/>
    <s v="BAHIA "/>
    <x v="40"/>
    <x v="37"/>
    <s v="INSUMO"/>
    <s v="CALÇO"/>
    <x v="49"/>
    <x v="30"/>
    <s v="MO 21L"/>
    <n v="9"/>
    <m/>
    <n v="-9"/>
    <x v="18"/>
    <d v="2026-08-31T00:00:00"/>
    <x v="3"/>
    <s v="Entrega direto na expedição"/>
  </r>
  <r>
    <n v="9"/>
    <d v="2026-05-19T00:00:00"/>
    <s v="VANESSA "/>
    <s v="BAHIA "/>
    <x v="40"/>
    <x v="37"/>
    <s v="INSUMO"/>
    <s v="CALÇO"/>
    <x v="50"/>
    <x v="31"/>
    <s v="MO 21L"/>
    <n v="110"/>
    <m/>
    <n v="-110"/>
    <x v="18"/>
    <d v="2026-08-31T00:00:00"/>
    <x v="3"/>
    <s v="Entrega direto na expedição"/>
  </r>
  <r>
    <n v="9"/>
    <d v="2026-05-19T00:00:00"/>
    <s v="VANESSA "/>
    <s v="BAHIA "/>
    <x v="46"/>
    <x v="42"/>
    <s v="INSUMO"/>
    <s v="CALÇO"/>
    <x v="60"/>
    <x v="37"/>
    <s v="MO 34L"/>
    <n v="26"/>
    <n v="26"/>
    <n v="0"/>
    <x v="8"/>
    <d v="2026-08-11T00:00:00"/>
    <x v="0"/>
    <s v="NF 01"/>
  </r>
  <r>
    <n v="9"/>
    <d v="2026-05-19T00:00:00"/>
    <s v="VANESSA "/>
    <s v="BAHIA "/>
    <x v="39"/>
    <x v="36"/>
    <s v="INSUMO"/>
    <s v="CALÇO"/>
    <x v="44"/>
    <x v="27"/>
    <s v="MO 21L"/>
    <n v="408"/>
    <m/>
    <n v="-408"/>
    <x v="18"/>
    <d v="2026-08-31T00:00:00"/>
    <x v="3"/>
    <s v="Entrega direto na expedição"/>
  </r>
  <r>
    <n v="9"/>
    <d v="2026-05-19T00:00:00"/>
    <s v="VANESSA "/>
    <s v="BAHIA "/>
    <x v="39"/>
    <x v="36"/>
    <s v="INSUMO"/>
    <s v="CALÇO"/>
    <x v="43"/>
    <x v="26"/>
    <s v="MO 21L"/>
    <n v="152"/>
    <m/>
    <n v="-152"/>
    <x v="18"/>
    <d v="2026-08-31T00:00:00"/>
    <x v="3"/>
    <s v="Entrega direto na expedição"/>
  </r>
  <r>
    <n v="9"/>
    <d v="2026-05-19T00:00:00"/>
    <s v="VANESSA "/>
    <s v="BAHIA "/>
    <x v="39"/>
    <x v="36"/>
    <s v="INSUMO"/>
    <s v="CALÇO"/>
    <x v="45"/>
    <x v="27"/>
    <s v="MO 21L"/>
    <n v="165"/>
    <m/>
    <n v="-165"/>
    <x v="18"/>
    <d v="2026-08-31T00:00:00"/>
    <x v="3"/>
    <s v="Entrega direto na expedição"/>
  </r>
  <r>
    <n v="9"/>
    <d v="2026-05-19T00:00:00"/>
    <s v="VANESSA "/>
    <s v="BAHIA "/>
    <x v="39"/>
    <x v="36"/>
    <s v="INSUMO"/>
    <s v="CALÇO"/>
    <x v="45"/>
    <x v="27"/>
    <s v="MO 21L"/>
    <n v="263"/>
    <m/>
    <n v="-263"/>
    <x v="18"/>
    <d v="2026-08-31T00:00:00"/>
    <x v="3"/>
    <s v="Entrega direto na expedição"/>
  </r>
  <r>
    <n v="9"/>
    <d v="2026-05-19T00:00:00"/>
    <s v="VANESSA "/>
    <s v="BAHIA "/>
    <x v="39"/>
    <x v="36"/>
    <s v="INSUMO"/>
    <s v="CALÇO"/>
    <x v="49"/>
    <x v="30"/>
    <s v="MO 21L"/>
    <n v="9"/>
    <m/>
    <n v="-9"/>
    <x v="18"/>
    <d v="2026-08-31T00:00:00"/>
    <x v="3"/>
    <s v="Entrega direto na expedição"/>
  </r>
  <r>
    <n v="9"/>
    <d v="2026-05-19T00:00:00"/>
    <s v="VANESSA "/>
    <s v="BAHIA "/>
    <x v="39"/>
    <x v="36"/>
    <s v="INSUMO"/>
    <s v="CALÇO"/>
    <x v="50"/>
    <x v="31"/>
    <s v="MO 21L"/>
    <n v="110"/>
    <m/>
    <n v="-110"/>
    <x v="18"/>
    <d v="2026-08-31T00:00:00"/>
    <x v="3"/>
    <s v="Entrega direto na expedição"/>
  </r>
  <r>
    <n v="9"/>
    <d v="2026-05-19T00:00:00"/>
    <s v="VANESSA "/>
    <s v="BAHIA "/>
    <x v="47"/>
    <x v="43"/>
    <s v="INSUMO"/>
    <s v="CALÇO"/>
    <x v="60"/>
    <x v="37"/>
    <s v="MO 34L"/>
    <n v="26"/>
    <n v="26"/>
    <n v="0"/>
    <x v="8"/>
    <d v="2026-08-11T00:00:00"/>
    <x v="0"/>
    <s v="NF 01"/>
  </r>
  <r>
    <n v="9"/>
    <d v="2026-05-19T00:00:00"/>
    <s v="VANESSA "/>
    <s v="BAHIA "/>
    <x v="38"/>
    <x v="35"/>
    <s v="INSUMO"/>
    <s v="ROTULO"/>
    <x v="44"/>
    <x v="27"/>
    <s v="MO 21L"/>
    <n v="408"/>
    <n v="660"/>
    <n v="252"/>
    <x v="12"/>
    <d v="2026-08-19T00:00:00"/>
    <x v="4"/>
    <s v="NF 12"/>
  </r>
  <r>
    <n v="9"/>
    <d v="2026-05-19T00:00:00"/>
    <s v="VANESSA "/>
    <s v="BAHIA "/>
    <x v="41"/>
    <x v="35"/>
    <s v="INSUMO"/>
    <s v="ROTULO"/>
    <x v="43"/>
    <x v="26"/>
    <s v="MO 21L"/>
    <n v="152"/>
    <n v="152"/>
    <n v="0"/>
    <x v="9"/>
    <d v="2026-08-13T00:00:00"/>
    <x v="0"/>
    <s v="NF 05"/>
  </r>
  <r>
    <n v="9"/>
    <d v="2026-05-19T00:00:00"/>
    <s v="VANESSA "/>
    <s v="BAHIA "/>
    <x v="41"/>
    <x v="35"/>
    <s v="INSUMO"/>
    <s v="ROTULO"/>
    <x v="45"/>
    <x v="27"/>
    <s v="MO 21L"/>
    <n v="165"/>
    <n v="165"/>
    <n v="0"/>
    <x v="9"/>
    <d v="2026-08-13T00:00:00"/>
    <x v="0"/>
    <s v="NF 05"/>
  </r>
  <r>
    <n v="9"/>
    <d v="2026-05-19T00:00:00"/>
    <s v="VANESSA "/>
    <s v="BAHIA "/>
    <x v="41"/>
    <x v="35"/>
    <s v="INSUMO"/>
    <s v="ROTULO"/>
    <x v="45"/>
    <x v="27"/>
    <s v="MO 21L"/>
    <n v="263"/>
    <n v="263"/>
    <n v="0"/>
    <x v="9"/>
    <d v="2026-08-13T00:00:00"/>
    <x v="0"/>
    <s v="NF 05"/>
  </r>
  <r>
    <n v="9"/>
    <d v="2026-05-19T00:00:00"/>
    <s v="VANESSA "/>
    <s v="BAHIA "/>
    <x v="44"/>
    <x v="40"/>
    <s v="INSUMO"/>
    <s v="ROTULO"/>
    <x v="49"/>
    <x v="30"/>
    <s v="MO 21L"/>
    <n v="9"/>
    <m/>
    <n v="-9"/>
    <x v="19"/>
    <d v="2026-08-24T00:00:00"/>
    <x v="3"/>
    <s v="Reserva M220- Verificando com almoxarifado se possui paletes com quebra"/>
  </r>
  <r>
    <n v="9"/>
    <d v="2026-05-19T00:00:00"/>
    <s v="VANESSA "/>
    <s v="BAHIA "/>
    <x v="44"/>
    <x v="40"/>
    <s v="INSUMO"/>
    <s v="ROTULO"/>
    <x v="50"/>
    <x v="31"/>
    <s v="MO 21L"/>
    <n v="110"/>
    <m/>
    <n v="-110"/>
    <x v="19"/>
    <d v="2026-08-24T00:00:00"/>
    <x v="3"/>
    <s v="Reserva M220- Verificando com almoxarifado se possui paletes com quebra"/>
  </r>
  <r>
    <n v="9"/>
    <d v="2026-05-19T00:00:00"/>
    <s v="VANESSA "/>
    <s v="BAHIA "/>
    <x v="50"/>
    <x v="45"/>
    <s v="INSUMO"/>
    <s v="ROTULO"/>
    <x v="60"/>
    <x v="37"/>
    <s v="MO 34L"/>
    <n v="26"/>
    <m/>
    <n v="-26"/>
    <x v="19"/>
    <d v="2026-08-24T00:00:00"/>
    <x v="3"/>
    <s v="Reserva M220- Verificando com almoxarifado se possui paletes com quebra"/>
  </r>
  <r>
    <n v="9"/>
    <d v="2026-05-19T00:00:00"/>
    <s v="VANESSA "/>
    <s v="BAHIA "/>
    <x v="46"/>
    <x v="42"/>
    <s v="INSUMO"/>
    <s v="CALÇO"/>
    <x v="61"/>
    <x v="37"/>
    <s v="MO 34L"/>
    <n v="81"/>
    <n v="81"/>
    <n v="0"/>
    <x v="9"/>
    <d v="2026-08-11T00:00:00"/>
    <x v="0"/>
    <s v="NF 04"/>
  </r>
  <r>
    <n v="9"/>
    <d v="2026-05-19T00:00:00"/>
    <s v="VANESSA "/>
    <s v="BAHIA "/>
    <x v="46"/>
    <x v="42"/>
    <s v="INSUMO"/>
    <s v="CALÇO"/>
    <x v="54"/>
    <x v="34"/>
    <s v="MO 34L"/>
    <n v="48"/>
    <n v="48"/>
    <n v="0"/>
    <x v="8"/>
    <d v="2026-08-11T00:00:00"/>
    <x v="0"/>
    <s v="NF 01"/>
  </r>
  <r>
    <n v="9"/>
    <d v="2026-05-19T00:00:00"/>
    <s v="VANESSA "/>
    <s v="BAHIA "/>
    <x v="46"/>
    <x v="42"/>
    <s v="INSUMO"/>
    <s v="CALÇO"/>
    <x v="56"/>
    <x v="35"/>
    <s v="MO 34L"/>
    <n v="16"/>
    <n v="16"/>
    <n v="0"/>
    <x v="8"/>
    <d v="2026-08-11T00:00:00"/>
    <x v="0"/>
    <s v="NF 01"/>
  </r>
  <r>
    <n v="9"/>
    <d v="2026-05-19T00:00:00"/>
    <s v="VANESSA "/>
    <s v="BAHIA "/>
    <x v="46"/>
    <x v="42"/>
    <s v="INSUMO"/>
    <s v="CALÇO"/>
    <x v="55"/>
    <x v="34"/>
    <s v="MO 34L"/>
    <n v="65"/>
    <n v="65"/>
    <n v="0"/>
    <x v="8"/>
    <d v="2026-08-11T00:00:00"/>
    <x v="0"/>
    <s v="NF 01"/>
  </r>
  <r>
    <n v="9"/>
    <d v="2026-05-19T00:00:00"/>
    <s v="VANESSA "/>
    <s v="BAHIA "/>
    <x v="46"/>
    <x v="42"/>
    <s v="INSUMO"/>
    <s v="CALÇO"/>
    <x v="57"/>
    <x v="35"/>
    <s v="MO 34L"/>
    <n v="105"/>
    <n v="105"/>
    <n v="0"/>
    <x v="9"/>
    <d v="2026-08-11T00:00:00"/>
    <x v="0"/>
    <s v="NF 04"/>
  </r>
  <r>
    <n v="9"/>
    <d v="2026-05-19T00:00:00"/>
    <s v="VANESSA "/>
    <s v="BAHIA "/>
    <x v="46"/>
    <x v="42"/>
    <s v="INSUMO"/>
    <s v="CALÇO"/>
    <x v="57"/>
    <x v="35"/>
    <s v="MO 34L"/>
    <n v="157"/>
    <n v="157"/>
    <n v="0"/>
    <x v="9"/>
    <d v="2026-08-11T00:00:00"/>
    <x v="0"/>
    <s v="NF 04"/>
  </r>
  <r>
    <n v="9"/>
    <d v="2026-05-19T00:00:00"/>
    <s v="VANESSA "/>
    <s v="BAHIA "/>
    <x v="40"/>
    <x v="37"/>
    <s v="INSUMO"/>
    <s v="CALÇO"/>
    <x v="46"/>
    <x v="28"/>
    <s v="MO 21L"/>
    <n v="364"/>
    <m/>
    <n v="-364"/>
    <x v="18"/>
    <d v="2026-08-31T00:00:00"/>
    <x v="3"/>
    <s v="Entrega direto na expedição"/>
  </r>
  <r>
    <n v="9"/>
    <d v="2026-05-19T00:00:00"/>
    <s v="VANESSA "/>
    <s v="BAHIA "/>
    <x v="39"/>
    <x v="36"/>
    <s v="INSUMO"/>
    <s v="CALÇO"/>
    <x v="47"/>
    <x v="29"/>
    <s v="MO 21L"/>
    <n v="1"/>
    <m/>
    <n v="-1"/>
    <x v="18"/>
    <d v="2026-08-31T00:00:00"/>
    <x v="3"/>
    <s v="Entrega direto na expedição"/>
  </r>
  <r>
    <n v="9"/>
    <d v="2026-05-19T00:00:00"/>
    <s v="VANESSA "/>
    <s v="BAHIA "/>
    <x v="46"/>
    <x v="42"/>
    <s v="INSUMO"/>
    <s v="CALÇO"/>
    <x v="52"/>
    <x v="32"/>
    <s v="MO 34L"/>
    <n v="5"/>
    <n v="5"/>
    <n v="0"/>
    <x v="9"/>
    <d v="2026-08-11T00:00:00"/>
    <x v="0"/>
    <s v="NF 04"/>
  </r>
  <r>
    <n v="9"/>
    <d v="2026-05-19T00:00:00"/>
    <s v="VANESSA "/>
    <s v="BAHIA "/>
    <x v="46"/>
    <x v="42"/>
    <s v="INSUMO"/>
    <s v="CALÇO"/>
    <x v="53"/>
    <x v="33"/>
    <s v="MO 34L"/>
    <n v="19"/>
    <n v="19"/>
    <n v="0"/>
    <x v="9"/>
    <d v="2026-08-11T00:00:00"/>
    <x v="0"/>
    <s v="NF 04"/>
  </r>
  <r>
    <n v="9"/>
    <d v="2026-05-19T00:00:00"/>
    <s v="VANESSA "/>
    <s v="BAHIA "/>
    <x v="46"/>
    <x v="42"/>
    <s v="INSUMO"/>
    <s v="CALÇO"/>
    <x v="53"/>
    <x v="33"/>
    <s v="MO 34L"/>
    <n v="184"/>
    <n v="184"/>
    <n v="0"/>
    <x v="9"/>
    <d v="2026-08-11T00:00:00"/>
    <x v="0"/>
    <s v="NF 04"/>
  </r>
  <r>
    <n v="9"/>
    <d v="2026-05-19T00:00:00"/>
    <s v="VANESSA "/>
    <s v="BAHIA "/>
    <x v="47"/>
    <x v="43"/>
    <s v="INSUMO"/>
    <s v="CALÇO"/>
    <x v="61"/>
    <x v="37"/>
    <s v="MO 34L"/>
    <n v="81"/>
    <n v="81"/>
    <n v="0"/>
    <x v="8"/>
    <d v="2026-08-11T00:00:00"/>
    <x v="0"/>
    <s v="NF 04"/>
  </r>
  <r>
    <n v="9"/>
    <d v="2026-05-19T00:00:00"/>
    <s v="VANESSA "/>
    <s v="BAHIA "/>
    <x v="47"/>
    <x v="43"/>
    <s v="INSUMO"/>
    <s v="CALÇO"/>
    <x v="54"/>
    <x v="34"/>
    <s v="MO 34L"/>
    <n v="48"/>
    <n v="48"/>
    <n v="0"/>
    <x v="8"/>
    <d v="2026-08-11T00:00:00"/>
    <x v="0"/>
    <s v="NF 01"/>
  </r>
  <r>
    <n v="9"/>
    <d v="2026-05-19T00:00:00"/>
    <s v="VANESSA "/>
    <s v="BAHIA "/>
    <x v="47"/>
    <x v="43"/>
    <s v="INSUMO"/>
    <s v="CALÇO"/>
    <x v="56"/>
    <x v="35"/>
    <s v="MO 34L"/>
    <n v="16"/>
    <n v="16"/>
    <n v="0"/>
    <x v="8"/>
    <d v="2026-08-11T00:00:00"/>
    <x v="0"/>
    <s v="NF 01"/>
  </r>
  <r>
    <n v="9"/>
    <d v="2026-05-19T00:00:00"/>
    <s v="VANESSA "/>
    <s v="BAHIA "/>
    <x v="47"/>
    <x v="43"/>
    <s v="INSUMO"/>
    <s v="CALÇO"/>
    <x v="55"/>
    <x v="34"/>
    <s v="MO 34L"/>
    <n v="65"/>
    <n v="65"/>
    <n v="0"/>
    <x v="8"/>
    <d v="2026-08-11T00:00:00"/>
    <x v="0"/>
    <s v="NF 01"/>
  </r>
  <r>
    <n v="9"/>
    <d v="2026-05-19T00:00:00"/>
    <s v="VANESSA "/>
    <s v="BAHIA "/>
    <x v="47"/>
    <x v="43"/>
    <s v="INSUMO"/>
    <s v="CALÇO"/>
    <x v="57"/>
    <x v="35"/>
    <s v="MO 34L"/>
    <n v="105"/>
    <n v="105"/>
    <n v="0"/>
    <x v="8"/>
    <d v="2026-08-11T00:00:00"/>
    <x v="0"/>
    <s v="NF 04"/>
  </r>
  <r>
    <n v="9"/>
    <d v="2026-05-19T00:00:00"/>
    <s v="VANESSA "/>
    <s v="BAHIA "/>
    <x v="47"/>
    <x v="43"/>
    <s v="INSUMO"/>
    <s v="CALÇO"/>
    <x v="57"/>
    <x v="35"/>
    <s v="MO 34L"/>
    <n v="157"/>
    <n v="157"/>
    <n v="0"/>
    <x v="8"/>
    <d v="2026-08-11T00:00:00"/>
    <x v="0"/>
    <s v="NF 04"/>
  </r>
  <r>
    <n v="9"/>
    <d v="2026-05-19T00:00:00"/>
    <s v="VANESSA "/>
    <s v="BAHIA "/>
    <x v="39"/>
    <x v="36"/>
    <s v="INSUMO"/>
    <s v="CALÇO"/>
    <x v="46"/>
    <x v="28"/>
    <s v="MO 21L"/>
    <n v="364"/>
    <m/>
    <n v="-364"/>
    <x v="18"/>
    <d v="2026-08-31T00:00:00"/>
    <x v="3"/>
    <s v="Entrega direto na expedição"/>
  </r>
  <r>
    <n v="9"/>
    <d v="2026-05-19T00:00:00"/>
    <s v="VANESSA "/>
    <s v="BAHIA "/>
    <x v="40"/>
    <x v="37"/>
    <s v="INSUMO"/>
    <s v="CALÇO"/>
    <x v="47"/>
    <x v="29"/>
    <s v="MO 21L"/>
    <n v="1"/>
    <m/>
    <n v="-1"/>
    <x v="18"/>
    <d v="2026-08-31T00:00:00"/>
    <x v="3"/>
    <s v="Entrega direto na expedição"/>
  </r>
  <r>
    <n v="9"/>
    <d v="2026-05-19T00:00:00"/>
    <s v="VANESSA "/>
    <s v="BAHIA "/>
    <x v="47"/>
    <x v="43"/>
    <s v="INSUMO"/>
    <s v="CALÇO"/>
    <x v="52"/>
    <x v="32"/>
    <s v="MO 34L"/>
    <n v="5"/>
    <n v="5"/>
    <n v="0"/>
    <x v="8"/>
    <d v="2026-08-11T00:00:00"/>
    <x v="0"/>
    <s v="NF 04"/>
  </r>
  <r>
    <n v="9"/>
    <d v="2026-05-19T00:00:00"/>
    <s v="VANESSA "/>
    <s v="BAHIA "/>
    <x v="47"/>
    <x v="43"/>
    <s v="INSUMO"/>
    <s v="CALÇO"/>
    <x v="53"/>
    <x v="33"/>
    <s v="MO 34L"/>
    <n v="19"/>
    <n v="19"/>
    <n v="0"/>
    <x v="8"/>
    <d v="2026-08-11T00:00:00"/>
    <x v="0"/>
    <s v="NF 04"/>
  </r>
  <r>
    <n v="9"/>
    <d v="2026-05-19T00:00:00"/>
    <s v="VANESSA "/>
    <s v="BAHIA "/>
    <x v="47"/>
    <x v="43"/>
    <s v="INSUMO"/>
    <s v="CALÇO"/>
    <x v="53"/>
    <x v="33"/>
    <s v="MO 34L"/>
    <n v="184"/>
    <n v="184"/>
    <n v="0"/>
    <x v="8"/>
    <d v="2026-08-11T00:00:00"/>
    <x v="0"/>
    <s v="NF 04"/>
  </r>
  <r>
    <n v="9"/>
    <d v="2026-05-19T00:00:00"/>
    <s v="VANESSA "/>
    <s v="BAHIA "/>
    <x v="51"/>
    <x v="45"/>
    <s v="INSUMO"/>
    <s v="ROTULO"/>
    <x v="61"/>
    <x v="37"/>
    <s v="MO 34L"/>
    <n v="81"/>
    <m/>
    <n v="-81"/>
    <x v="19"/>
    <d v="2026-08-24T00:00:00"/>
    <x v="3"/>
    <s v="Reserva M220- Verificando com almoxarifado se possui paletes com quebra"/>
  </r>
  <r>
    <n v="9"/>
    <d v="2026-05-19T00:00:00"/>
    <s v="VANESSA "/>
    <s v="BAHIA "/>
    <x v="48"/>
    <x v="44"/>
    <s v="INSUMO"/>
    <s v="ROTULO"/>
    <x v="54"/>
    <x v="34"/>
    <s v="MO 34L"/>
    <n v="48"/>
    <m/>
    <n v="-48"/>
    <x v="3"/>
    <m/>
    <x v="2"/>
    <s v="Sem saldo, não pode usar o modelo atual; Fazer pedido por e-mail"/>
  </r>
  <r>
    <n v="9"/>
    <d v="2026-05-19T00:00:00"/>
    <s v="VANESSA "/>
    <s v="BAHIA "/>
    <x v="48"/>
    <x v="44"/>
    <s v="INSUMO"/>
    <s v="ROTULO"/>
    <x v="56"/>
    <x v="35"/>
    <s v="MO 34L"/>
    <n v="16"/>
    <m/>
    <n v="-16"/>
    <x v="3"/>
    <m/>
    <x v="2"/>
    <s v="Sem saldo, não pode usar o modelo atual; Fazer pedido por e-mail"/>
  </r>
  <r>
    <n v="9"/>
    <d v="2026-05-19T00:00:00"/>
    <s v="VANESSA "/>
    <s v="BAHIA "/>
    <x v="49"/>
    <x v="41"/>
    <s v="INSUMO"/>
    <s v="ROTULO"/>
    <x v="55"/>
    <x v="34"/>
    <s v="MO 34L"/>
    <n v="65"/>
    <n v="65"/>
    <n v="0"/>
    <x v="19"/>
    <d v="2026-08-13T00:00:00"/>
    <x v="0"/>
    <s v="NF 07"/>
  </r>
  <r>
    <n v="9"/>
    <d v="2026-05-19T00:00:00"/>
    <s v="VANESSA "/>
    <s v="BAHIA "/>
    <x v="49"/>
    <x v="41"/>
    <s v="INSUMO"/>
    <s v="ROTULO"/>
    <x v="57"/>
    <x v="35"/>
    <s v="MO 34L"/>
    <n v="105"/>
    <n v="105"/>
    <n v="0"/>
    <x v="19"/>
    <d v="2026-08-13T00:00:00"/>
    <x v="0"/>
    <s v="NF 07"/>
  </r>
  <r>
    <n v="9"/>
    <d v="2026-05-19T00:00:00"/>
    <s v="VANESSA "/>
    <s v="BAHIA "/>
    <x v="49"/>
    <x v="41"/>
    <s v="INSUMO"/>
    <s v="ROTULO"/>
    <x v="57"/>
    <x v="35"/>
    <s v="MO 34L"/>
    <n v="157"/>
    <n v="157"/>
    <n v="0"/>
    <x v="19"/>
    <d v="2026-08-13T00:00:00"/>
    <x v="0"/>
    <s v="NF 07"/>
  </r>
  <r>
    <n v="9"/>
    <d v="2026-05-19T00:00:00"/>
    <s v="VANESSA "/>
    <s v="BAHIA "/>
    <x v="42"/>
    <x v="38"/>
    <s v="INSUMO"/>
    <s v="ROTULO"/>
    <x v="46"/>
    <x v="28"/>
    <s v="MO 21L"/>
    <n v="364"/>
    <m/>
    <n v="-364"/>
    <x v="19"/>
    <d v="2026-08-24T00:00:00"/>
    <x v="3"/>
    <s v="Reserva M220- Verificando com almoxarifado se possui paletes com quebra"/>
  </r>
  <r>
    <n v="9"/>
    <d v="2026-05-19T00:00:00"/>
    <s v="VANESSA "/>
    <s v="BAHIA "/>
    <x v="42"/>
    <x v="38"/>
    <s v="INSUMO"/>
    <s v="ROTULO"/>
    <x v="47"/>
    <x v="29"/>
    <s v="MO 21L"/>
    <n v="1"/>
    <m/>
    <n v="-1"/>
    <x v="19"/>
    <d v="2026-08-24T00:00:00"/>
    <x v="3"/>
    <s v="Reserva M220- Verificando com almoxarifado se possui paletes com quebra"/>
  </r>
  <r>
    <n v="9"/>
    <d v="2026-05-19T00:00:00"/>
    <s v="VANESSA "/>
    <s v="BAHIA "/>
    <x v="45"/>
    <x v="41"/>
    <s v="INSUMO"/>
    <s v="ROTULO"/>
    <x v="52"/>
    <x v="32"/>
    <s v="MO 34L"/>
    <n v="5"/>
    <m/>
    <n v="-5"/>
    <x v="19"/>
    <d v="2026-08-24T00:00:00"/>
    <x v="3"/>
    <s v="Reserva M220- Verificando com almoxarifado se possui paletes com quebra"/>
  </r>
  <r>
    <n v="9"/>
    <d v="2026-05-19T00:00:00"/>
    <s v="VANESSA "/>
    <s v="BAHIA "/>
    <x v="45"/>
    <x v="41"/>
    <s v="INSUMO"/>
    <s v="ROTULO"/>
    <x v="53"/>
    <x v="33"/>
    <s v="MO 34L"/>
    <n v="19"/>
    <m/>
    <n v="-19"/>
    <x v="19"/>
    <d v="2026-08-24T00:00:00"/>
    <x v="3"/>
    <s v="Reserva M220- Verificando com almoxarifado se possui paletes com quebra"/>
  </r>
  <r>
    <n v="9"/>
    <d v="2026-05-19T00:00:00"/>
    <s v="VANESSA "/>
    <s v="BAHIA "/>
    <x v="45"/>
    <x v="41"/>
    <s v="INSUMO"/>
    <s v="ROTULO"/>
    <x v="53"/>
    <x v="33"/>
    <s v="MO 34L"/>
    <n v="184"/>
    <m/>
    <n v="-184"/>
    <x v="19"/>
    <d v="2026-08-24T00:00:00"/>
    <x v="3"/>
    <s v="Reserva M220- Verificando com almoxarifado se possui paletes com quebra"/>
  </r>
  <r>
    <n v="9"/>
    <d v="2026-05-19T00:00:00"/>
    <s v="VANESSA "/>
    <s v="BAHIA "/>
    <x v="81"/>
    <x v="68"/>
    <s v="EMBALAGEM "/>
    <s v="CAIXA INDIVIDUAL"/>
    <x v="86"/>
    <x v="57"/>
    <s v="CM 220 N"/>
    <n v="8"/>
    <m/>
    <n v="-8"/>
    <x v="3"/>
    <d v="2026-08-24T00:00:00"/>
    <x v="3"/>
    <s v="Fazer reserva "/>
  </r>
  <r>
    <n v="9"/>
    <d v="2026-05-19T00:00:00"/>
    <s v="VANESSA "/>
    <s v="BAHIA "/>
    <x v="11"/>
    <x v="11"/>
    <s v="EMBALAGEM "/>
    <s v="CAIXA COLETIVA"/>
    <x v="86"/>
    <x v="57"/>
    <s v="CM 220 N"/>
    <n v="2"/>
    <m/>
    <n v="-2"/>
    <x v="3"/>
    <m/>
    <x v="2"/>
    <s v="Solicitar compra por e-mail"/>
  </r>
  <r>
    <n v="9"/>
    <d v="2026-05-19T00:00:00"/>
    <s v="VANESSA "/>
    <s v="BAHIA "/>
    <x v="82"/>
    <x v="69"/>
    <s v="EMBALAGEM "/>
    <s v="CAIXA INDIVIDUAL"/>
    <x v="87"/>
    <x v="58"/>
    <s v="CM300N"/>
    <n v="32"/>
    <n v="32"/>
    <n v="0"/>
    <x v="9"/>
    <d v="2026-08-13T00:00:00"/>
    <x v="0"/>
    <s v="NF 05"/>
  </r>
  <r>
    <n v="9"/>
    <d v="2026-05-19T00:00:00"/>
    <s v="VANESSA "/>
    <s v="BAHIA "/>
    <x v="77"/>
    <x v="64"/>
    <s v="EMBALAGEM "/>
    <s v="CAIXA COLETIVA"/>
    <x v="87"/>
    <x v="58"/>
    <s v="CM300N"/>
    <n v="8"/>
    <n v="8"/>
    <n v="0"/>
    <x v="12"/>
    <d v="2026-08-19T00:00:00"/>
    <x v="0"/>
    <s v="NF 10"/>
  </r>
  <r>
    <n v="9"/>
    <d v="2026-05-19T00:00:00"/>
    <s v="VANESSA "/>
    <s v="BAHIA "/>
    <x v="83"/>
    <x v="70"/>
    <s v="EMBALAGEM "/>
    <s v="CAIXA INDIVIDUAL"/>
    <x v="88"/>
    <x v="59"/>
    <s v="CM650N"/>
    <n v="150"/>
    <n v="150"/>
    <n v="0"/>
    <x v="1"/>
    <d v="2026-08-13T00:00:00"/>
    <x v="0"/>
    <s v="NF 09"/>
  </r>
  <r>
    <n v="9"/>
    <d v="2026-05-19T00:00:00"/>
    <s v="VANESSA "/>
    <s v="BAHIA "/>
    <x v="84"/>
    <x v="71"/>
    <s v="EMBALAGEM "/>
    <s v="CAIXA INDIVIDUAL"/>
    <x v="89"/>
    <x v="60"/>
    <s v="CM1000N"/>
    <n v="17"/>
    <m/>
    <n v="-17"/>
    <x v="3"/>
    <d v="2026-08-24T00:00:00"/>
    <x v="3"/>
    <s v="Fazer reserva "/>
  </r>
  <r>
    <n v="9"/>
    <d v="2026-05-19T00:00:00"/>
    <s v="VANESSA "/>
    <s v="BAHIA "/>
    <x v="65"/>
    <x v="57"/>
    <s v="EMBALAGEM "/>
    <s v="CAIXA INDIVIDUAL"/>
    <x v="72"/>
    <x v="47"/>
    <s v="TV 32 ANDROID"/>
    <n v="4"/>
    <n v="4"/>
    <n v="0"/>
    <x v="9"/>
    <d v="2026-08-13T00:00:00"/>
    <x v="0"/>
    <s v="NF 05"/>
  </r>
  <r>
    <n v="9"/>
    <d v="2026-05-19T00:00:00"/>
    <s v="VANESSA "/>
    <s v="BAHIA "/>
    <x v="65"/>
    <x v="57"/>
    <s v="EMBALAGEM "/>
    <s v="CAIXA INDIVIDUAL"/>
    <x v="71"/>
    <x v="47"/>
    <s v="TV 32 ANDROID"/>
    <n v="106"/>
    <n v="106"/>
    <n v="0"/>
    <x v="9"/>
    <d v="2026-08-13T00:00:00"/>
    <x v="0"/>
    <s v="NF 05"/>
  </r>
  <r>
    <n v="9"/>
    <d v="2026-05-19T00:00:00"/>
    <s v="VANESSA "/>
    <s v="BAHIA "/>
    <x v="67"/>
    <x v="58"/>
    <s v="EMBALAGEM "/>
    <s v="CAIXA INDIVIDUAL"/>
    <x v="75"/>
    <x v="48"/>
    <s v="TV 43 ANDROID"/>
    <n v="23"/>
    <m/>
    <n v="-23"/>
    <x v="11"/>
    <d v="2026-09-04T00:00:00"/>
    <x v="3"/>
    <s v="Entrega direto na expedição"/>
  </r>
  <r>
    <n v="9"/>
    <d v="2026-05-19T00:00:00"/>
    <s v="VANESSA "/>
    <s v="BAHIA "/>
    <x v="67"/>
    <x v="58"/>
    <s v="EMBALAGEM "/>
    <s v="CAIXA INDIVIDUAL"/>
    <x v="73"/>
    <x v="48"/>
    <s v="TV 43 ANDROID"/>
    <n v="64"/>
    <m/>
    <n v="-64"/>
    <x v="11"/>
    <d v="2026-09-04T00:00:00"/>
    <x v="3"/>
    <s v="Entrega direto na expedição"/>
  </r>
  <r>
    <n v="9"/>
    <d v="2026-05-19T00:00:00"/>
    <s v="VANESSA "/>
    <s v="BAHIA "/>
    <x v="67"/>
    <x v="58"/>
    <s v="EMBALAGEM "/>
    <s v="CAIXA INDIVIDUAL"/>
    <x v="73"/>
    <x v="48"/>
    <s v="TV 43 ANDROID"/>
    <n v="13"/>
    <m/>
    <n v="-13"/>
    <x v="11"/>
    <d v="2026-09-04T00:00:00"/>
    <x v="3"/>
    <s v="Entrega direto na expedição"/>
  </r>
  <r>
    <n v="9"/>
    <d v="2026-05-19T00:00:00"/>
    <s v="VANESSA "/>
    <s v="BAHIA "/>
    <x v="67"/>
    <x v="58"/>
    <s v="EMBALAGEM "/>
    <s v="CAIXA INDIVIDUAL"/>
    <x v="74"/>
    <x v="48"/>
    <s v="TV 43 ANDROID"/>
    <n v="225"/>
    <m/>
    <n v="-225"/>
    <x v="11"/>
    <d v="2026-09-04T00:00:00"/>
    <x v="3"/>
    <s v="Entrega direto na expedição"/>
  </r>
  <r>
    <n v="9"/>
    <d v="2026-05-19T00:00:00"/>
    <s v="VANESSA "/>
    <s v="BAHIA "/>
    <x v="67"/>
    <x v="58"/>
    <s v="EMBALAGEM "/>
    <s v="CAIXA INDIVIDUAL"/>
    <x v="74"/>
    <x v="48"/>
    <s v="TV 43 ANDROID"/>
    <n v="33"/>
    <m/>
    <n v="-33"/>
    <x v="11"/>
    <d v="2026-09-04T00:00:00"/>
    <x v="3"/>
    <s v="Entrega direto na expedição"/>
  </r>
  <r>
    <n v="9"/>
    <d v="2026-05-19T00:00:00"/>
    <s v="VANESSA "/>
    <s v="BAHIA "/>
    <x v="85"/>
    <x v="63"/>
    <s v="EMBALAGEM "/>
    <s v="CAIXA INDIVIDUAL"/>
    <x v="83"/>
    <x v="54"/>
    <s v="CM 400L"/>
    <n v="12"/>
    <n v="12"/>
    <n v="0"/>
    <x v="9"/>
    <d v="2026-08-13T00:00:00"/>
    <x v="0"/>
    <s v="NF 05"/>
  </r>
  <r>
    <n v="9"/>
    <d v="2026-05-19T00:00:00"/>
    <s v="VANESSA "/>
    <s v="BAHIA "/>
    <x v="23"/>
    <x v="21"/>
    <s v="EMBALAGEM "/>
    <s v="CAIXA INDIVIDUAL"/>
    <x v="31"/>
    <x v="17"/>
    <s v="CM 550L"/>
    <n v="2"/>
    <m/>
    <n v="-2"/>
    <x v="20"/>
    <d v="2026-09-21T00:00:00"/>
    <x v="3"/>
    <s v="Joao, em pedido"/>
  </r>
  <r>
    <n v="9"/>
    <d v="2026-05-19T00:00:00"/>
    <s v="VANESSA "/>
    <s v="BAHIA "/>
    <x v="7"/>
    <x v="7"/>
    <s v="EMBALAGEM "/>
    <s v="CAIXA INDIVIDUAL"/>
    <x v="10"/>
    <x v="6"/>
    <s v="BBS LBL"/>
    <n v="98"/>
    <n v="600"/>
    <n v="502"/>
    <x v="21"/>
    <d v="2026-08-24T00:00:00"/>
    <x v="3"/>
    <s v="Fazer reserva "/>
  </r>
  <r>
    <n v="9"/>
    <d v="2026-05-19T00:00:00"/>
    <s v="VANESSA "/>
    <s v="BAHIA "/>
    <x v="7"/>
    <x v="7"/>
    <s v="EMBALAGEM "/>
    <s v="CAIXA INDIVIDUAL"/>
    <x v="10"/>
    <x v="6"/>
    <s v="BBS LBL"/>
    <n v="32"/>
    <m/>
    <n v="-32"/>
    <x v="21"/>
    <d v="2026-08-24T00:00:00"/>
    <x v="3"/>
    <s v="Fazer reserva "/>
  </r>
  <r>
    <n v="9"/>
    <d v="2026-05-19T00:00:00"/>
    <s v="VANESSA "/>
    <s v="BAHIA "/>
    <x v="25"/>
    <x v="23"/>
    <s v="EMBALAGEM "/>
    <s v="CAIXA INDIVIDUAL"/>
    <x v="33"/>
    <x v="18"/>
    <s v="CM 700"/>
    <n v="52"/>
    <m/>
    <n v="-52"/>
    <x v="3"/>
    <m/>
    <x v="2"/>
    <s v="Solicitar compra por e-mail"/>
  </r>
  <r>
    <n v="9"/>
    <d v="2026-05-19T00:00:00"/>
    <s v="VANESSA "/>
    <s v="BAHIA "/>
    <x v="25"/>
    <x v="23"/>
    <s v="EMBALAGEM "/>
    <s v="CAIXA INDIVIDUAL"/>
    <x v="34"/>
    <x v="18"/>
    <s v="CM 700"/>
    <n v="20"/>
    <m/>
    <n v="-20"/>
    <x v="3"/>
    <m/>
    <x v="2"/>
    <s v="Solicitar compra por e-mail"/>
  </r>
  <r>
    <n v="9"/>
    <d v="2026-05-19T00:00:00"/>
    <s v="VANESSA "/>
    <s v="BAHIA "/>
    <x v="25"/>
    <x v="23"/>
    <s v="EMBALAGEM "/>
    <s v="CAIXA INDIVIDUAL"/>
    <x v="34"/>
    <x v="18"/>
    <s v="CM 700"/>
    <n v="181"/>
    <m/>
    <n v="-181"/>
    <x v="3"/>
    <m/>
    <x v="2"/>
    <s v="Solicitar compra por e-mail"/>
  </r>
  <r>
    <n v="9"/>
    <d v="2026-05-19T00:00:00"/>
    <s v="VANESSA "/>
    <s v="BAHIA "/>
    <x v="24"/>
    <x v="22"/>
    <s v="INSUMO"/>
    <s v="ROTULO"/>
    <x v="33"/>
    <x v="18"/>
    <s v="CM 700"/>
    <n v="52"/>
    <m/>
    <n v="-52"/>
    <x v="3"/>
    <m/>
    <x v="2"/>
    <s v="Solicitar compra por e-mail"/>
  </r>
  <r>
    <n v="9"/>
    <d v="2026-05-19T00:00:00"/>
    <s v="VANESSA "/>
    <s v="BAHIA "/>
    <x v="24"/>
    <x v="22"/>
    <s v="INSUMO"/>
    <s v="ROTULO"/>
    <x v="34"/>
    <x v="18"/>
    <s v="CM 700"/>
    <n v="20"/>
    <m/>
    <n v="-20"/>
    <x v="3"/>
    <m/>
    <x v="2"/>
    <s v="Solicitar compra por e-mail"/>
  </r>
  <r>
    <n v="9"/>
    <d v="2026-05-19T00:00:00"/>
    <s v="VANESSA "/>
    <s v="BAHIA "/>
    <x v="24"/>
    <x v="22"/>
    <s v="INSUMO"/>
    <s v="ROTULO"/>
    <x v="34"/>
    <x v="18"/>
    <s v="CM 700"/>
    <n v="181"/>
    <m/>
    <n v="-181"/>
    <x v="3"/>
    <m/>
    <x v="2"/>
    <s v="Solicitar compra por e-mail"/>
  </r>
  <r>
    <n v="9"/>
    <d v="2026-05-19T00:00:00"/>
    <s v="VANESSA "/>
    <s v="BAHIA "/>
    <x v="11"/>
    <x v="11"/>
    <s v="EMBALAGEM "/>
    <s v="CAIXA COLETIVA"/>
    <x v="15"/>
    <x v="10"/>
    <s v="CM150"/>
    <n v="16"/>
    <m/>
    <n v="-16"/>
    <x v="3"/>
    <m/>
    <x v="2"/>
    <s v="Solicitar compra por e-mail"/>
  </r>
  <r>
    <n v="9"/>
    <d v="2026-05-19T00:00:00"/>
    <s v="VANESSA "/>
    <s v="BAHIA "/>
    <x v="11"/>
    <x v="11"/>
    <s v="EMBALAGEM "/>
    <s v="CAIXA COLETIVA"/>
    <x v="15"/>
    <x v="10"/>
    <s v="CM150"/>
    <n v="40"/>
    <m/>
    <n v="-40"/>
    <x v="3"/>
    <m/>
    <x v="2"/>
    <s v="Solicitar compra por e-mail"/>
  </r>
  <r>
    <n v="9"/>
    <d v="2026-05-19T00:00:00"/>
    <s v="VANESSA "/>
    <s v="BAHIA "/>
    <x v="11"/>
    <x v="11"/>
    <s v="EMBALAGEM "/>
    <s v="CAIXA COLETIVA"/>
    <x v="16"/>
    <x v="10"/>
    <s v="CM150"/>
    <n v="192"/>
    <m/>
    <n v="-192"/>
    <x v="3"/>
    <m/>
    <x v="2"/>
    <s v="Solicitar compra por e-mail"/>
  </r>
  <r>
    <n v="9"/>
    <d v="2026-05-19T00:00:00"/>
    <s v="VANESSA "/>
    <s v="BAHIA "/>
    <x v="11"/>
    <x v="11"/>
    <s v="EMBALAGEM "/>
    <s v="CAIXA COLETIVA"/>
    <x v="16"/>
    <x v="10"/>
    <s v="CM150"/>
    <n v="20"/>
    <m/>
    <n v="-20"/>
    <x v="3"/>
    <m/>
    <x v="2"/>
    <s v="Solicitar compra por e-mail"/>
  </r>
  <r>
    <n v="9"/>
    <d v="2026-05-19T00:00:00"/>
    <s v="VANESSA "/>
    <s v="BAHIA "/>
    <x v="16"/>
    <x v="16"/>
    <s v="EMBALAGEM "/>
    <s v="CAIXA INDIVIDUAL"/>
    <x v="21"/>
    <x v="13"/>
    <s v="CM400"/>
    <n v="65"/>
    <n v="65"/>
    <n v="0"/>
    <x v="9"/>
    <d v="2026-08-11T00:00:00"/>
    <x v="0"/>
    <s v="NF 04"/>
  </r>
  <r>
    <n v="9"/>
    <d v="2026-05-19T00:00:00"/>
    <s v="VANESSA "/>
    <s v="BAHIA "/>
    <x v="86"/>
    <x v="72"/>
    <s v="INSUMO"/>
    <s v="LACRE"/>
    <x v="10"/>
    <x v="6"/>
    <s v="BBS LBL"/>
    <n v="260"/>
    <n v="260"/>
    <n v="0"/>
    <x v="21"/>
    <d v="2026-08-24T00:00:00"/>
    <x v="3"/>
    <s v="Fazer reserva "/>
  </r>
  <r>
    <n v="10"/>
    <d v="2026-06-15T00:00:00"/>
    <s v="JOYCE"/>
    <s v="JTD TRANSPORTES "/>
    <x v="16"/>
    <x v="16"/>
    <s v="EMBALAGEM "/>
    <s v="CAIXA INDIVIDUAL"/>
    <x v="21"/>
    <x v="13"/>
    <s v="CM400"/>
    <n v="415"/>
    <n v="415"/>
    <n v="0"/>
    <x v="9"/>
    <d v="2026-08-11T00:00:00"/>
    <x v="0"/>
    <s v="NF 04"/>
  </r>
  <r>
    <n v="10"/>
    <d v="2026-06-15T00:00:00"/>
    <s v="JOYCE"/>
    <s v="JTD TRANSPORTES "/>
    <x v="16"/>
    <x v="16"/>
    <s v="EMBALAGEM "/>
    <s v="CAIXA INDIVIDUAL"/>
    <x v="22"/>
    <x v="13"/>
    <s v="CM400"/>
    <n v="120"/>
    <n v="120"/>
    <n v="0"/>
    <x v="9"/>
    <d v="2026-08-11T00:00:00"/>
    <x v="0"/>
    <s v="NF 04"/>
  </r>
  <r>
    <n v="10"/>
    <d v="2026-06-15T00:00:00"/>
    <s v="JOYCE"/>
    <s v="JTD TRANSPORTES "/>
    <x v="15"/>
    <x v="15"/>
    <s v="EMBALAGEM "/>
    <s v="CAIXA COLETIVA"/>
    <x v="20"/>
    <x v="12"/>
    <s v="CM 250"/>
    <n v="114"/>
    <m/>
    <n v="-114"/>
    <x v="3"/>
    <m/>
    <x v="2"/>
    <s v="Solicitar compra por e-mail"/>
  </r>
  <r>
    <n v="10"/>
    <d v="2026-06-15T00:00:00"/>
    <s v="JOYCE"/>
    <s v="JTD TRANSPORTES "/>
    <x v="15"/>
    <x v="15"/>
    <s v="EMBALAGEM "/>
    <s v="CAIXA COLETIVA"/>
    <x v="20"/>
    <x v="12"/>
    <s v="CM 250"/>
    <n v="1270"/>
    <n v="1270"/>
    <n v="0"/>
    <x v="12"/>
    <d v="2026-08-19T00:00:00"/>
    <x v="0"/>
    <s v="NF 08"/>
  </r>
  <r>
    <n v="10"/>
    <d v="2026-06-15T00:00:00"/>
    <s v="JOYCE"/>
    <s v="JTD TRANSPORTES "/>
    <x v="77"/>
    <x v="64"/>
    <s v="EMBALAGEM "/>
    <s v="CAIXA COLETIVA"/>
    <x v="83"/>
    <x v="54"/>
    <s v="CM 400L"/>
    <n v="996"/>
    <m/>
    <n v="-996"/>
    <x v="3"/>
    <m/>
    <x v="2"/>
    <s v="Solicitar compra por e-mail"/>
  </r>
  <r>
    <n v="10"/>
    <d v="2026-06-15T00:00:00"/>
    <s v="JOYCE"/>
    <s v="JTD TRANSPORTES "/>
    <x v="63"/>
    <x v="56"/>
    <s v="EMBALAGEM "/>
    <s v="CAIXA INDIVIDUAL"/>
    <x v="70"/>
    <x v="46"/>
    <s v="TM2200"/>
    <n v="10"/>
    <m/>
    <n v="-10"/>
    <x v="1"/>
    <d v="2026-08-24T00:00:00"/>
    <x v="3"/>
    <s v="Fazer reserva "/>
  </r>
  <r>
    <n v="10"/>
    <d v="2026-06-15T00:00:00"/>
    <s v="JOYCE"/>
    <s v="JTD TRANSPORTES "/>
    <x v="62"/>
    <x v="55"/>
    <s v="INSUMO"/>
    <s v="ROTULO"/>
    <x v="70"/>
    <x v="46"/>
    <s v="TM2200"/>
    <n v="20"/>
    <m/>
    <n v="-20"/>
    <x v="1"/>
    <d v="2026-08-24T00:00:00"/>
    <x v="3"/>
    <s v="Fazer reserva "/>
  </r>
  <r>
    <n v="10"/>
    <d v="2026-06-15T00:00:00"/>
    <s v="JOYCE"/>
    <s v="JTD TRANSPORTES "/>
    <x v="22"/>
    <x v="20"/>
    <s v="EMBALAGEM "/>
    <s v="CAIXA INDIVIDUAL"/>
    <x v="30"/>
    <x v="16"/>
    <s v="CM 550"/>
    <n v="180"/>
    <m/>
    <n v="-180"/>
    <x v="3"/>
    <m/>
    <x v="2"/>
    <s v="Solicitar compra por e-mail"/>
  </r>
  <r>
    <n v="10"/>
    <d v="2026-06-15T00:00:00"/>
    <s v="JOYCE"/>
    <s v="JTD TRANSPORTES "/>
    <x v="0"/>
    <x v="0"/>
    <s v="EMBALAGEM "/>
    <s v="CAIXA INDIVIDUAL"/>
    <x v="0"/>
    <x v="0"/>
    <s v="BBS PRETO"/>
    <n v="478"/>
    <n v="478"/>
    <n v="0"/>
    <x v="9"/>
    <d v="2026-08-13T00:00:00"/>
    <x v="0"/>
    <s v="NF 06"/>
  </r>
  <r>
    <n v="10"/>
    <d v="2026-06-15T00:00:00"/>
    <s v="JOYCE"/>
    <s v="JTD TRANSPORTES "/>
    <x v="57"/>
    <x v="51"/>
    <s v="INSUMO"/>
    <s v="ROTULO"/>
    <x v="68"/>
    <x v="44"/>
    <s v="T2W"/>
    <n v="250"/>
    <n v="250"/>
    <n v="0"/>
    <x v="12"/>
    <d v="2026-08-19T00:00:00"/>
    <x v="0"/>
    <s v="NF 11"/>
  </r>
  <r>
    <n v="10"/>
    <d v="2026-06-15T00:00:00"/>
    <s v="JOYCE"/>
    <s v="JTD TRANSPORTES "/>
    <x v="59"/>
    <x v="52"/>
    <s v="EMBALAGEM "/>
    <s v="CAIXA INDIVIDUAL"/>
    <x v="68"/>
    <x v="44"/>
    <s v="T2W"/>
    <n v="125"/>
    <n v="125"/>
    <n v="0"/>
    <x v="12"/>
    <d v="2026-08-19T00:00:00"/>
    <x v="0"/>
    <s v="NF 11"/>
  </r>
  <r>
    <n v="10"/>
    <d v="2026-06-15T00:00:00"/>
    <s v="JOYCE"/>
    <s v="JTD TRANSPORTES "/>
    <x v="68"/>
    <x v="59"/>
    <s v="EMBALAGEM "/>
    <s v="CAIXA INDIVIDUAL"/>
    <x v="76"/>
    <x v="49"/>
    <s v="TV 50 ANDROID"/>
    <n v="108"/>
    <m/>
    <n v="-108"/>
    <x v="3"/>
    <d v="2026-08-24T00:00:00"/>
    <x v="3"/>
    <s v="Trazer supplog-Solicitado"/>
  </r>
  <r>
    <n v="10"/>
    <d v="2026-06-15T00:00:00"/>
    <s v="JOYCE"/>
    <s v="JTD TRANSPORTES "/>
    <x v="11"/>
    <x v="11"/>
    <s v="EMBALAGEM "/>
    <s v="CAIXA COLETIVA"/>
    <x v="15"/>
    <x v="10"/>
    <s v="CM150"/>
    <n v="216"/>
    <m/>
    <n v="-216"/>
    <x v="3"/>
    <m/>
    <x v="2"/>
    <s v="Solicitar compra por e-mail"/>
  </r>
  <r>
    <n v="10"/>
    <d v="2026-06-15T00:00:00"/>
    <s v="JOYCE"/>
    <s v="JTD TRANSPORTES "/>
    <x v="11"/>
    <x v="11"/>
    <s v="EMBALAGEM "/>
    <s v="CAIXA COLETIVA"/>
    <x v="16"/>
    <x v="10"/>
    <s v="CM150"/>
    <n v="1390"/>
    <n v="1390"/>
    <n v="0"/>
    <x v="12"/>
    <d v="2026-08-19T00:00:00"/>
    <x v="0"/>
    <s v="NF 08"/>
  </r>
  <r>
    <n v="10"/>
    <d v="2026-06-15T00:00:00"/>
    <s v="JOYCE"/>
    <s v="JTD TRANSPORTES "/>
    <x v="11"/>
    <x v="11"/>
    <s v="EMBALAGEM "/>
    <s v="CAIXA COLETIVA"/>
    <x v="16"/>
    <x v="10"/>
    <s v="CM150"/>
    <n v="1110"/>
    <m/>
    <n v="-1110"/>
    <x v="3"/>
    <m/>
    <x v="2"/>
    <s v="Solicitar compra por e-mail"/>
  </r>
  <r>
    <n v="10"/>
    <d v="2026-06-15T00:00:00"/>
    <s v="JOYCE"/>
    <s v="JTD TRANSPORTES "/>
    <x v="71"/>
    <x v="60"/>
    <s v="EMBALAGEM "/>
    <s v="CAIXA INDIVIDUAL"/>
    <x v="78"/>
    <x v="51"/>
    <s v="TV 55 ANDROID"/>
    <n v="20"/>
    <m/>
    <n v="-20"/>
    <x v="12"/>
    <d v="2026-08-24T00:00:00"/>
    <x v="3"/>
    <s v="Fazer reserva "/>
  </r>
  <r>
    <n v="10"/>
    <d v="2026-06-15T00:00:00"/>
    <s v="JOYCE"/>
    <s v="JTD TRANSPORTES "/>
    <x v="65"/>
    <x v="57"/>
    <s v="EMBALAGEM "/>
    <s v="CAIXA INDIVIDUAL"/>
    <x v="71"/>
    <x v="47"/>
    <s v="TV 32 ANDROID"/>
    <n v="321"/>
    <m/>
    <n v="-321"/>
    <x v="21"/>
    <d v="2026-08-24T00:00:00"/>
    <x v="3"/>
    <s v="Fazer reserva "/>
  </r>
  <r>
    <n v="10"/>
    <d v="2026-06-15T00:00:00"/>
    <s v="JOYCE"/>
    <s v="JTD TRANSPORTES "/>
    <x v="65"/>
    <x v="57"/>
    <s v="EMBALAGEM "/>
    <s v="CAIXA INDIVIDUAL"/>
    <x v="71"/>
    <x v="47"/>
    <s v="TV 32 ANDROID"/>
    <n v="790"/>
    <n v="790"/>
    <n v="0"/>
    <x v="9"/>
    <d v="2026-08-13T00:00:00"/>
    <x v="0"/>
    <s v="NF 06"/>
  </r>
  <r>
    <n v="10"/>
    <d v="2026-06-15T00:00:00"/>
    <s v="JOYCE"/>
    <s v="JTD TRANSPORTES "/>
    <x v="67"/>
    <x v="58"/>
    <s v="EMBALAGEM "/>
    <s v="CAIXA INDIVIDUAL"/>
    <x v="74"/>
    <x v="48"/>
    <s v="TV 43 ANDROID"/>
    <n v="300"/>
    <m/>
    <n v="-300"/>
    <x v="11"/>
    <d v="2026-09-04T00:00:00"/>
    <x v="3"/>
    <s v="Entrega direto na expedição"/>
  </r>
  <r>
    <n v="10"/>
    <d v="2026-06-15T00:00:00"/>
    <s v="JOYCE"/>
    <s v="JTD TRANSPORTES "/>
    <x v="23"/>
    <x v="21"/>
    <s v="EMBALAGEM "/>
    <s v="CAIXA INDIVIDUAL"/>
    <x v="31"/>
    <x v="17"/>
    <s v="CM 550L"/>
    <n v="1310"/>
    <m/>
    <n v="-1310"/>
    <x v="20"/>
    <d v="2026-09-21T00:00:00"/>
    <x v="3"/>
    <s v="Joao, em pedido"/>
  </r>
  <r>
    <n v="10"/>
    <d v="2026-06-15T00:00:00"/>
    <s v="JOYCE"/>
    <s v="JTD TRANSPORTES "/>
    <x v="7"/>
    <x v="7"/>
    <s v="EMBALAGEM "/>
    <s v="CAIXA INDIVIDUAL"/>
    <x v="10"/>
    <x v="6"/>
    <s v="BBS LBL"/>
    <n v="5"/>
    <m/>
    <n v="-5"/>
    <x v="21"/>
    <d v="2026-08-24T00:00:00"/>
    <x v="3"/>
    <s v="Fazer reserva "/>
  </r>
  <r>
    <n v="10"/>
    <d v="2026-06-15T00:00:00"/>
    <s v="JOYCE"/>
    <s v="JTD TRANSPORTES "/>
    <x v="24"/>
    <x v="22"/>
    <s v="INSUMO"/>
    <s v="ROTULO"/>
    <x v="34"/>
    <x v="18"/>
    <s v="CM 700"/>
    <n v="265"/>
    <m/>
    <n v="-265"/>
    <x v="3"/>
    <m/>
    <x v="2"/>
    <s v="Solicitar compra por e-mail"/>
  </r>
  <r>
    <n v="10"/>
    <d v="2026-06-15T00:00:00"/>
    <s v="JOYCE"/>
    <s v="JTD TRANSPORTES "/>
    <x v="25"/>
    <x v="23"/>
    <s v="EMBALAGEM "/>
    <s v="CAIXA INDIVIDUAL"/>
    <x v="34"/>
    <x v="18"/>
    <s v="CM 700"/>
    <n v="265"/>
    <m/>
    <n v="-265"/>
    <x v="3"/>
    <m/>
    <x v="2"/>
    <s v="Solicitar compra por e-mail"/>
  </r>
  <r>
    <n v="10"/>
    <d v="2026-06-15T00:00:00"/>
    <s v="JOYCE"/>
    <s v="JTD TRANSPORTES "/>
    <x v="40"/>
    <x v="37"/>
    <s v="INSUMO"/>
    <s v="CALÇO"/>
    <x v="42"/>
    <x v="26"/>
    <s v="MO 21L"/>
    <n v="13"/>
    <m/>
    <n v="-13"/>
    <x v="18"/>
    <d v="2026-08-31T00:00:00"/>
    <x v="3"/>
    <s v="Entrega direto na expedição"/>
  </r>
  <r>
    <n v="10"/>
    <d v="2026-06-15T00:00:00"/>
    <s v="JOYCE"/>
    <s v="JTD TRANSPORTES "/>
    <x v="39"/>
    <x v="36"/>
    <s v="INSUMO"/>
    <s v="CALÇO"/>
    <x v="42"/>
    <x v="26"/>
    <s v="MO 21L"/>
    <n v="13"/>
    <m/>
    <n v="-13"/>
    <x v="18"/>
    <d v="2026-08-31T00:00:00"/>
    <x v="3"/>
    <s v="Entrega direto na expedição"/>
  </r>
  <r>
    <n v="10"/>
    <d v="2026-06-15T00:00:00"/>
    <s v="JOYCE"/>
    <s v="JTD TRANSPORTES "/>
    <x v="38"/>
    <x v="35"/>
    <s v="INSUMO"/>
    <s v="ROTULO"/>
    <x v="42"/>
    <x v="26"/>
    <s v="MO 21L"/>
    <n v="13"/>
    <n v="13"/>
    <n v="0"/>
    <x v="12"/>
    <d v="2026-08-19T00:00:00"/>
    <x v="4"/>
    <s v="NF 13"/>
  </r>
  <r>
    <n v="10"/>
    <d v="2026-06-15T00:00:00"/>
    <s v="JOYCE"/>
    <s v="JTD TRANSPORTES "/>
    <x v="40"/>
    <x v="37"/>
    <s v="INSUMO"/>
    <s v="CALÇO"/>
    <x v="44"/>
    <x v="27"/>
    <s v="MO 21L"/>
    <n v="327"/>
    <m/>
    <n v="-327"/>
    <x v="18"/>
    <d v="2026-08-31T00:00:00"/>
    <x v="3"/>
    <s v="Entrega direto na expedição"/>
  </r>
  <r>
    <n v="10"/>
    <d v="2026-06-15T00:00:00"/>
    <s v="JOYCE"/>
    <s v="JTD TRANSPORTES "/>
    <x v="39"/>
    <x v="36"/>
    <s v="INSUMO"/>
    <s v="CALÇO"/>
    <x v="44"/>
    <x v="27"/>
    <s v="MO 21L"/>
    <n v="327"/>
    <m/>
    <n v="-327"/>
    <x v="18"/>
    <d v="2026-08-31T00:00:00"/>
    <x v="3"/>
    <s v="Entrega direto na expedição"/>
  </r>
  <r>
    <n v="10"/>
    <d v="2026-06-15T00:00:00"/>
    <s v="JOYCE"/>
    <s v="JTD TRANSPORTES "/>
    <x v="38"/>
    <x v="35"/>
    <s v="INSUMO"/>
    <s v="ROTULO"/>
    <x v="44"/>
    <x v="27"/>
    <s v="MO 21L"/>
    <n v="327"/>
    <n v="327"/>
    <n v="0"/>
    <x v="12"/>
    <d v="2026-08-19T00:00:00"/>
    <x v="4"/>
    <s v="NF 13"/>
  </r>
  <r>
    <n v="10"/>
    <d v="2026-06-15T00:00:00"/>
    <s v="JOYCE"/>
    <s v="JTD TRANSPORTES "/>
    <x v="40"/>
    <x v="37"/>
    <s v="INSUMO"/>
    <s v="CALÇO"/>
    <x v="43"/>
    <x v="26"/>
    <s v="MO 21L"/>
    <n v="136"/>
    <m/>
    <n v="-136"/>
    <x v="18"/>
    <d v="2026-08-31T00:00:00"/>
    <x v="3"/>
    <s v="Entrega direto na expedição"/>
  </r>
  <r>
    <n v="10"/>
    <d v="2026-06-15T00:00:00"/>
    <s v="JOYCE"/>
    <s v="JTD TRANSPORTES "/>
    <x v="39"/>
    <x v="36"/>
    <s v="INSUMO"/>
    <s v="CALÇO"/>
    <x v="43"/>
    <x v="26"/>
    <s v="MO 21L"/>
    <n v="136"/>
    <m/>
    <n v="-136"/>
    <x v="18"/>
    <d v="2026-08-31T00:00:00"/>
    <x v="3"/>
    <s v="Entrega direto na expedição"/>
  </r>
  <r>
    <n v="10"/>
    <d v="2026-06-15T00:00:00"/>
    <s v="JOYCE"/>
    <s v="JTD TRANSPORTES "/>
    <x v="41"/>
    <x v="35"/>
    <s v="INSUMO"/>
    <s v="ROTULO"/>
    <x v="43"/>
    <x v="26"/>
    <s v="MO 21L"/>
    <n v="136"/>
    <n v="136"/>
    <n v="0"/>
    <x v="9"/>
    <d v="2026-08-13T00:00:00"/>
    <x v="0"/>
    <s v="NF 06"/>
  </r>
  <r>
    <n v="10"/>
    <d v="2026-06-15T00:00:00"/>
    <s v="JOYCE"/>
    <s v="JTD TRANSPORTES "/>
    <x v="40"/>
    <x v="37"/>
    <s v="INSUMO"/>
    <s v="CALÇO"/>
    <x v="48"/>
    <x v="30"/>
    <s v="MO 21L"/>
    <n v="41"/>
    <m/>
    <n v="-41"/>
    <x v="18"/>
    <d v="2026-08-31T00:00:00"/>
    <x v="3"/>
    <s v="Entrega direto na expedição"/>
  </r>
  <r>
    <n v="10"/>
    <d v="2026-06-15T00:00:00"/>
    <s v="JOYCE"/>
    <s v="JTD TRANSPORTES "/>
    <x v="39"/>
    <x v="36"/>
    <s v="INSUMO"/>
    <s v="CALÇO"/>
    <x v="48"/>
    <x v="30"/>
    <s v="MO 21L"/>
    <n v="41"/>
    <m/>
    <n v="-41"/>
    <x v="18"/>
    <d v="2026-08-31T00:00:00"/>
    <x v="3"/>
    <s v="Entrega direto na expedição"/>
  </r>
  <r>
    <n v="10"/>
    <d v="2026-06-15T00:00:00"/>
    <s v="JOYCE"/>
    <s v="JTD TRANSPORTES "/>
    <x v="43"/>
    <x v="39"/>
    <s v="INSUMO"/>
    <s v="ROTULO"/>
    <x v="48"/>
    <x v="30"/>
    <s v="MO 21L"/>
    <n v="41"/>
    <m/>
    <n v="-41"/>
    <x v="19"/>
    <d v="2026-08-24T00:00:00"/>
    <x v="3"/>
    <s v="Reserva M220- Verificando com almoxarifado se possui paletes com quebra"/>
  </r>
  <r>
    <n v="10"/>
    <d v="2026-06-15T00:00:00"/>
    <s v="JOYCE"/>
    <s v="JTD TRANSPORTES "/>
    <x v="40"/>
    <x v="37"/>
    <s v="INSUMO"/>
    <s v="CALÇO"/>
    <x v="51"/>
    <x v="31"/>
    <s v="MO 21L"/>
    <n v="57"/>
    <m/>
    <n v="-57"/>
    <x v="18"/>
    <d v="2026-08-31T00:00:00"/>
    <x v="3"/>
    <s v="Entrega direto na expedição"/>
  </r>
  <r>
    <n v="10"/>
    <d v="2026-06-15T00:00:00"/>
    <s v="JOYCE"/>
    <s v="JTD TRANSPORTES "/>
    <x v="39"/>
    <x v="36"/>
    <s v="INSUMO"/>
    <s v="CALÇO"/>
    <x v="51"/>
    <x v="31"/>
    <s v="MO 21L"/>
    <n v="57"/>
    <m/>
    <n v="-57"/>
    <x v="18"/>
    <d v="2026-08-31T00:00:00"/>
    <x v="3"/>
    <s v="Entrega direto na expedição"/>
  </r>
  <r>
    <n v="10"/>
    <d v="2026-06-15T00:00:00"/>
    <s v="JOYCE"/>
    <s v="JTD TRANSPORTES "/>
    <x v="43"/>
    <x v="39"/>
    <s v="INSUMO"/>
    <s v="ROTULO"/>
    <x v="51"/>
    <x v="31"/>
    <s v="MO 21L"/>
    <n v="57"/>
    <m/>
    <n v="-57"/>
    <x v="19"/>
    <d v="2026-08-24T00:00:00"/>
    <x v="3"/>
    <s v="Reserva M220- Verificando com almoxarifado se possui paletes com quebra"/>
  </r>
  <r>
    <n v="10"/>
    <d v="2026-06-15T00:00:00"/>
    <s v="JOYCE"/>
    <s v="JTD TRANSPORTES "/>
    <x v="40"/>
    <x v="37"/>
    <s v="INSUMO"/>
    <s v="CALÇO"/>
    <x v="49"/>
    <x v="30"/>
    <s v="MO 21L"/>
    <n v="131"/>
    <m/>
    <n v="-131"/>
    <x v="18"/>
    <d v="2026-08-31T00:00:00"/>
    <x v="3"/>
    <s v="Entrega direto na expedição"/>
  </r>
  <r>
    <n v="10"/>
    <d v="2026-06-15T00:00:00"/>
    <s v="JOYCE"/>
    <s v="JTD TRANSPORTES "/>
    <x v="39"/>
    <x v="36"/>
    <s v="INSUMO"/>
    <s v="CALÇO"/>
    <x v="49"/>
    <x v="30"/>
    <s v="MO 21L"/>
    <n v="131"/>
    <m/>
    <n v="-131"/>
    <x v="18"/>
    <d v="2026-08-31T00:00:00"/>
    <x v="3"/>
    <s v="Entrega direto na expedição"/>
  </r>
  <r>
    <n v="10"/>
    <d v="2026-06-15T00:00:00"/>
    <s v="JOYCE"/>
    <s v="JTD TRANSPORTES "/>
    <x v="44"/>
    <x v="40"/>
    <s v="INSUMO"/>
    <s v="ROTULO"/>
    <x v="49"/>
    <x v="30"/>
    <s v="MO 21L"/>
    <n v="131"/>
    <m/>
    <n v="-131"/>
    <x v="19"/>
    <d v="2026-08-24T00:00:00"/>
    <x v="3"/>
    <s v="Reserva M220- Verificando com almoxarifado se possui paletes com quebra"/>
  </r>
  <r>
    <n v="10"/>
    <d v="2026-06-15T00:00:00"/>
    <s v="JOYCE"/>
    <s v="JTD TRANSPORTES "/>
    <x v="46"/>
    <x v="42"/>
    <s v="INSUMO"/>
    <s v="CALÇO"/>
    <x v="58"/>
    <x v="36"/>
    <s v="MO 34L"/>
    <n v="1"/>
    <n v="1"/>
    <n v="0"/>
    <x v="9"/>
    <d v="2026-08-11T00:00:00"/>
    <x v="0"/>
    <s v="NF 02"/>
  </r>
  <r>
    <n v="10"/>
    <d v="2026-06-15T00:00:00"/>
    <s v="JOYCE"/>
    <s v="JTD TRANSPORTES "/>
    <x v="47"/>
    <x v="43"/>
    <s v="INSUMO"/>
    <s v="CALÇO"/>
    <x v="58"/>
    <x v="36"/>
    <s v="MO 34L"/>
    <n v="1"/>
    <n v="1"/>
    <n v="0"/>
    <x v="9"/>
    <d v="2026-08-11T00:00:00"/>
    <x v="0"/>
    <s v="NF 02"/>
  </r>
  <r>
    <n v="10"/>
    <d v="2026-06-15T00:00:00"/>
    <s v="JOYCE"/>
    <s v="JTD TRANSPORTES "/>
    <x v="50"/>
    <x v="45"/>
    <s v="INSUMO"/>
    <s v="ROTULO"/>
    <x v="58"/>
    <x v="36"/>
    <s v="MO 34L"/>
    <n v="1"/>
    <m/>
    <n v="-1"/>
    <x v="19"/>
    <d v="2026-08-24T00:00:00"/>
    <x v="3"/>
    <s v="Reserva M220- Verificando com almoxarifado se possui paletes com quebra"/>
  </r>
  <r>
    <n v="10"/>
    <d v="2026-06-15T00:00:00"/>
    <s v="JOYCE"/>
    <s v="JTD TRANSPORTES "/>
    <x v="46"/>
    <x v="42"/>
    <s v="INSUMO"/>
    <s v="CALÇO"/>
    <x v="59"/>
    <x v="36"/>
    <s v="MO 34L"/>
    <n v="8"/>
    <n v="8"/>
    <n v="0"/>
    <x v="9"/>
    <d v="2026-08-11T00:00:00"/>
    <x v="0"/>
    <s v="NF 02"/>
  </r>
  <r>
    <n v="10"/>
    <d v="2026-06-15T00:00:00"/>
    <s v="JOYCE"/>
    <s v="JTD TRANSPORTES "/>
    <x v="47"/>
    <x v="43"/>
    <s v="INSUMO"/>
    <s v="CALÇO"/>
    <x v="59"/>
    <x v="36"/>
    <s v="MO 34L"/>
    <n v="8"/>
    <n v="8"/>
    <n v="0"/>
    <x v="9"/>
    <d v="2026-08-11T00:00:00"/>
    <x v="0"/>
    <s v="NF 02"/>
  </r>
  <r>
    <n v="10"/>
    <d v="2026-06-15T00:00:00"/>
    <s v="JOYCE"/>
    <s v="JTD TRANSPORTES "/>
    <x v="51"/>
    <x v="45"/>
    <s v="INSUMO"/>
    <s v="ROTULO"/>
    <x v="59"/>
    <x v="36"/>
    <s v="MO 34L"/>
    <n v="8"/>
    <m/>
    <n v="-8"/>
    <x v="19"/>
    <d v="2026-08-24T00:00:00"/>
    <x v="3"/>
    <s v="Reserva M220- Verificando com almoxarifado se possui paletes com quebra"/>
  </r>
  <r>
    <n v="10"/>
    <d v="2026-06-15T00:00:00"/>
    <s v="JOYCE"/>
    <s v="JTD TRANSPORTES "/>
    <x v="46"/>
    <x v="42"/>
    <s v="INSUMO"/>
    <s v="CALÇO"/>
    <x v="61"/>
    <x v="37"/>
    <s v="MO 34L"/>
    <n v="24"/>
    <n v="24"/>
    <n v="0"/>
    <x v="9"/>
    <d v="2026-08-11T00:00:00"/>
    <x v="0"/>
    <s v="NF 02"/>
  </r>
  <r>
    <n v="10"/>
    <d v="2026-06-15T00:00:00"/>
    <s v="JOYCE"/>
    <s v="JTD TRANSPORTES "/>
    <x v="47"/>
    <x v="43"/>
    <s v="INSUMO"/>
    <s v="CALÇO"/>
    <x v="61"/>
    <x v="37"/>
    <s v="MO 34L"/>
    <n v="24"/>
    <n v="24"/>
    <n v="0"/>
    <x v="9"/>
    <d v="2026-08-11T00:00:00"/>
    <x v="0"/>
    <s v="NF 02"/>
  </r>
  <r>
    <n v="10"/>
    <d v="2026-06-15T00:00:00"/>
    <s v="JOYCE"/>
    <s v="JTD TRANSPORTES "/>
    <x v="51"/>
    <x v="45"/>
    <s v="INSUMO"/>
    <s v="ROTULO"/>
    <x v="61"/>
    <x v="37"/>
    <s v="MO 34L"/>
    <n v="24"/>
    <m/>
    <n v="-24"/>
    <x v="19"/>
    <d v="2026-08-24T00:00:00"/>
    <x v="3"/>
    <s v="Reserva M220- Verificando com almoxarifado se possui paletes com quebra"/>
  </r>
  <r>
    <n v="10"/>
    <d v="2026-06-15T00:00:00"/>
    <s v="JOYCE"/>
    <s v="JTD TRANSPORTES "/>
    <x v="46"/>
    <x v="42"/>
    <s v="INSUMO"/>
    <s v="CALÇO"/>
    <x v="54"/>
    <x v="34"/>
    <s v="MO 34L"/>
    <n v="37"/>
    <n v="37"/>
    <n v="0"/>
    <x v="9"/>
    <d v="2026-08-11T00:00:00"/>
    <x v="0"/>
    <s v="NF 02"/>
  </r>
  <r>
    <n v="10"/>
    <d v="2026-06-15T00:00:00"/>
    <s v="JOYCE"/>
    <s v="JTD TRANSPORTES "/>
    <x v="47"/>
    <x v="43"/>
    <s v="INSUMO"/>
    <s v="CALÇO"/>
    <x v="54"/>
    <x v="34"/>
    <s v="MO 34L"/>
    <n v="37"/>
    <n v="37"/>
    <n v="0"/>
    <x v="9"/>
    <d v="2026-08-11T00:00:00"/>
    <x v="0"/>
    <s v="NF 02"/>
  </r>
  <r>
    <n v="10"/>
    <d v="2026-06-15T00:00:00"/>
    <s v="JOYCE"/>
    <s v="JTD TRANSPORTES "/>
    <x v="48"/>
    <x v="44"/>
    <s v="INSUMO"/>
    <s v="ROTULO"/>
    <x v="54"/>
    <x v="34"/>
    <s v="MO 34L"/>
    <n v="37"/>
    <m/>
    <n v="-37"/>
    <x v="3"/>
    <m/>
    <x v="2"/>
    <s v="Sem saldo, não pode usar o modelo atual; Fazer pedido por e-mail"/>
  </r>
  <r>
    <n v="10"/>
    <d v="2026-06-15T00:00:00"/>
    <s v="JOYCE"/>
    <s v="JTD TRANSPORTES "/>
    <x v="46"/>
    <x v="42"/>
    <s v="INSUMO"/>
    <s v="CALÇO"/>
    <x v="56"/>
    <x v="35"/>
    <s v="MO 34L"/>
    <n v="4"/>
    <n v="4"/>
    <n v="0"/>
    <x v="9"/>
    <d v="2026-08-11T00:00:00"/>
    <x v="0"/>
    <s v="NF 02"/>
  </r>
  <r>
    <n v="10"/>
    <d v="2026-06-15T00:00:00"/>
    <s v="JOYCE"/>
    <s v="JTD TRANSPORTES "/>
    <x v="47"/>
    <x v="43"/>
    <s v="INSUMO"/>
    <s v="CALÇO"/>
    <x v="56"/>
    <x v="35"/>
    <s v="MO 34L"/>
    <n v="4"/>
    <n v="4"/>
    <n v="0"/>
    <x v="9"/>
    <d v="2026-08-11T00:00:00"/>
    <x v="0"/>
    <s v="NF 02"/>
  </r>
  <r>
    <n v="10"/>
    <d v="2026-06-15T00:00:00"/>
    <s v="JOYCE"/>
    <s v="JTD TRANSPORTES "/>
    <x v="48"/>
    <x v="44"/>
    <s v="INSUMO"/>
    <s v="ROTULO"/>
    <x v="56"/>
    <x v="35"/>
    <s v="MO 34L"/>
    <n v="4"/>
    <m/>
    <n v="-4"/>
    <x v="3"/>
    <m/>
    <x v="2"/>
    <s v="Sem saldo, não pode usar o modelo atual; Fazer pedido por e-mail"/>
  </r>
  <r>
    <n v="10"/>
    <d v="2026-06-15T00:00:00"/>
    <s v="JOYCE"/>
    <s v="JTD TRANSPORTES "/>
    <x v="86"/>
    <x v="72"/>
    <s v="INSUMO"/>
    <s v="LACRE"/>
    <x v="10"/>
    <x v="6"/>
    <s v="BBS LBL"/>
    <n v="10"/>
    <n v="10"/>
    <n v="0"/>
    <x v="21"/>
    <d v="2026-08-24T00:00:00"/>
    <x v="3"/>
    <s v="Fazer reserva "/>
  </r>
  <r>
    <n v="11"/>
    <d v="2026-06-25T00:00:00"/>
    <s v="HERISON"/>
    <s v="JTD TRANSPORTES "/>
    <x v="86"/>
    <x v="72"/>
    <s v="INSUMO"/>
    <s v="LACRE"/>
    <x v="0"/>
    <x v="0"/>
    <s v="BBS PRETO"/>
    <n v="4500"/>
    <n v="4500"/>
    <n v="0"/>
    <x v="22"/>
    <d v="2026-07-15T00:00:00"/>
    <x v="0"/>
    <m/>
  </r>
  <r>
    <n v="12"/>
    <d v="2026-06-25T00:00:00"/>
    <s v="VANESSA "/>
    <s v="BAHIA "/>
    <x v="71"/>
    <x v="60"/>
    <s v="EMBALAGEM "/>
    <s v="CAIXA INDIVIDUAL"/>
    <x v="79"/>
    <x v="51"/>
    <s v="TV 55 ANDROID"/>
    <n v="200"/>
    <m/>
    <n v="-200"/>
    <x v="12"/>
    <d v="2026-08-24T00:00:00"/>
    <x v="3"/>
    <s v="Fazer reserva "/>
  </r>
  <r>
    <n v="12"/>
    <d v="2026-06-25T00:00:00"/>
    <s v="VANESSA "/>
    <s v="BAHIA "/>
    <x v="68"/>
    <x v="59"/>
    <s v="EMBALAGEM "/>
    <s v="CAIXA INDIVIDUAL"/>
    <x v="76"/>
    <x v="49"/>
    <s v="TV 50 ANDROID"/>
    <n v="190"/>
    <n v="300"/>
    <n v="110"/>
    <x v="3"/>
    <d v="2026-08-24T00:00:00"/>
    <x v="3"/>
    <s v="Trazer supplog-Solicitado"/>
  </r>
  <r>
    <n v="12"/>
    <d v="2026-06-25T00:00:00"/>
    <s v="VANESSA "/>
    <s v="BAHIA "/>
    <x v="86"/>
    <x v="72"/>
    <s v="INSUMO"/>
    <s v="LACRE"/>
    <x v="0"/>
    <x v="0"/>
    <s v="BBS PRETO"/>
    <n v="3000"/>
    <n v="3000"/>
    <n v="0"/>
    <x v="9"/>
    <d v="2026-08-13T00:00:00"/>
    <x v="0"/>
    <s v="NF 05"/>
  </r>
  <r>
    <n v="13"/>
    <d v="2026-07-30T00:00:00"/>
    <s v="ANDERSON"/>
    <s v="BAHIA "/>
    <x v="0"/>
    <x v="0"/>
    <s v="EMBALAGEM "/>
    <s v="CAIXA INDIVIDUAL"/>
    <x v="0"/>
    <x v="0"/>
    <s v="BBS PRETO"/>
    <n v="600"/>
    <n v="600"/>
    <n v="0"/>
    <x v="19"/>
    <d v="2026-08-13T00:00:00"/>
    <x v="0"/>
    <s v="NF 07"/>
  </r>
  <r>
    <n v="13"/>
    <d v="2026-07-30T00:00:00"/>
    <s v="ANDERSON"/>
    <s v="BAHIA "/>
    <x v="0"/>
    <x v="0"/>
    <s v="EMBALAGEM "/>
    <s v="CAIXA INDIVIDUAL"/>
    <x v="0"/>
    <x v="0"/>
    <s v="BBS PRETO"/>
    <n v="1995"/>
    <n v="1995"/>
    <n v="0"/>
    <x v="9"/>
    <d v="2026-08-13T00:00:00"/>
    <x v="0"/>
    <s v="NF 05"/>
  </r>
  <r>
    <n v="13"/>
    <d v="2026-07-30T00:00:00"/>
    <s v="ANDERSON"/>
    <s v="BAHIA "/>
    <x v="86"/>
    <x v="72"/>
    <s v="INSUMO"/>
    <s v="LACRE"/>
    <x v="0"/>
    <x v="0"/>
    <s v="BBS PRETO"/>
    <n v="3990"/>
    <n v="3990"/>
    <n v="0"/>
    <x v="21"/>
    <d v="2026-08-24T00:00:00"/>
    <x v="3"/>
    <s v="Fazer reserva "/>
  </r>
  <r>
    <n v="13"/>
    <d v="2026-07-30T00:00:00"/>
    <s v="ANDERSON"/>
    <s v="BAHIA "/>
    <x v="0"/>
    <x v="0"/>
    <s v="EMBALAGEM "/>
    <s v="CAIXA INDIVIDUAL"/>
    <x v="0"/>
    <x v="0"/>
    <s v="BBS PRETO"/>
    <n v="77"/>
    <n v="77"/>
    <n v="0"/>
    <x v="9"/>
    <d v="2026-08-13T00:00:00"/>
    <x v="0"/>
    <s v="NF 05"/>
  </r>
  <r>
    <n v="13"/>
    <d v="2026-07-30T00:00:00"/>
    <s v="ANDERSON"/>
    <s v="BAHIA "/>
    <x v="86"/>
    <x v="72"/>
    <s v="INSUMO"/>
    <s v="LACRE"/>
    <x v="0"/>
    <x v="0"/>
    <s v="BBS PRETO"/>
    <n v="154"/>
    <n v="154"/>
    <n v="0"/>
    <x v="21"/>
    <d v="2026-08-24T00:00:00"/>
    <x v="3"/>
    <s v="Fazer reserva "/>
  </r>
  <r>
    <n v="14"/>
    <d v="2026-08-04T00:00:00"/>
    <s v="ANDERSON"/>
    <s v="BAHIA "/>
    <x v="1"/>
    <x v="1"/>
    <s v="EMBALAGEM "/>
    <s v="CAIXA INDIVIDUAL"/>
    <x v="1"/>
    <x v="1"/>
    <s v="BBS BG"/>
    <n v="959"/>
    <n v="1200"/>
    <n v="241"/>
    <x v="12"/>
    <d v="2026-08-19T00:00:00"/>
    <x v="0"/>
    <s v="NF 10"/>
  </r>
  <r>
    <n v="14"/>
    <d v="2026-08-04T00:00:00"/>
    <s v="ANDERSON"/>
    <s v="BAHIA "/>
    <x v="86"/>
    <x v="72"/>
    <s v="INSUMO"/>
    <s v="LACRE"/>
    <x v="1"/>
    <x v="1"/>
    <s v="BBS BG"/>
    <n v="700"/>
    <n v="700"/>
    <n v="0"/>
    <x v="21"/>
    <d v="2026-08-24T00:00:00"/>
    <x v="3"/>
    <s v="Fazer reserva "/>
  </r>
  <r>
    <n v="13"/>
    <d v="2026-07-30T00:00:00"/>
    <s v="ANDERSON"/>
    <s v="BAHIA "/>
    <x v="0"/>
    <x v="0"/>
    <s v="EMBALAGEM "/>
    <s v="CAIXA INDIVIDUAL"/>
    <x v="0"/>
    <x v="0"/>
    <s v="BBS PRETO"/>
    <n v="2576"/>
    <m/>
    <n v="-2576"/>
    <x v="23"/>
    <d v="2026-08-24T00:00:00"/>
    <x v="3"/>
    <s v="Verificar com Joao antes de fazer reserva"/>
  </r>
  <r>
    <n v="15"/>
    <d v="2026-08-11T00:00:00"/>
    <s v="VANESSA/ CD"/>
    <s v="BAHIA "/>
    <x v="0"/>
    <x v="0"/>
    <s v="EMBALAGEM "/>
    <s v="CAIXA INDIVIDUAL"/>
    <x v="0"/>
    <x v="0"/>
    <s v="BBS PRETO"/>
    <n v="2000"/>
    <m/>
    <n v="-2000"/>
    <x v="24"/>
    <d v="2026-08-27T00:00:00"/>
    <x v="3"/>
    <s v="Joao, em pedido"/>
  </r>
  <r>
    <n v="14"/>
    <d v="2026-08-04T00:00:00"/>
    <s v="ANDERSON"/>
    <s v="BAHIA "/>
    <x v="86"/>
    <x v="72"/>
    <s v="INSUMO"/>
    <s v="LACRE"/>
    <x v="1"/>
    <x v="1"/>
    <s v="BBS BG"/>
    <n v="1218"/>
    <n v="1218"/>
    <n v="0"/>
    <x v="21"/>
    <d v="2026-08-24T00:00:00"/>
    <x v="3"/>
    <s v="Fazer reserva "/>
  </r>
  <r>
    <n v="15"/>
    <d v="2026-08-11T00:00:00"/>
    <s v="VANESSA/ CD"/>
    <s v="BAHIA "/>
    <x v="86"/>
    <x v="72"/>
    <s v="INSUMO"/>
    <s v="LACRE"/>
    <x v="0"/>
    <x v="0"/>
    <s v="BBS PRETO"/>
    <n v="4000"/>
    <n v="4000"/>
    <n v="0"/>
    <x v="21"/>
    <d v="2026-08-24T00:00:00"/>
    <x v="3"/>
    <s v="Fazer reserva "/>
  </r>
  <r>
    <n v="15"/>
    <d v="2026-08-11T00:00:00"/>
    <s v="VANESSA/ CD"/>
    <s v="BAHIA "/>
    <x v="7"/>
    <x v="7"/>
    <s v="EMBALAGEM "/>
    <s v="CAIXA INDIVIDUAL"/>
    <x v="10"/>
    <x v="6"/>
    <s v="BBS LBL"/>
    <n v="228"/>
    <m/>
    <n v="-228"/>
    <x v="21"/>
    <d v="2026-08-24T00:00:00"/>
    <x v="3"/>
    <s v="Fazer reserva "/>
  </r>
  <r>
    <n v="15"/>
    <d v="2026-08-11T00:00:00"/>
    <s v="VANESSA/ CD"/>
    <s v="BAHIA "/>
    <x v="86"/>
    <x v="72"/>
    <s v="INSUMO"/>
    <s v="LACRE"/>
    <x v="10"/>
    <x v="6"/>
    <s v="BBS LBL"/>
    <n v="456"/>
    <n v="456"/>
    <n v="0"/>
    <x v="21"/>
    <d v="2026-08-24T00:00:00"/>
    <x v="3"/>
    <s v="Fazer reserva "/>
  </r>
  <r>
    <n v="15"/>
    <d v="2026-08-11T00:00:00"/>
    <s v="VANESSA/ CD"/>
    <s v="BAHIA "/>
    <x v="16"/>
    <x v="16"/>
    <s v="EMBALAGEM "/>
    <s v="CAIXA INDIVIDUAL"/>
    <x v="21"/>
    <x v="13"/>
    <s v="CM 400"/>
    <n v="1060"/>
    <m/>
    <n v="-1060"/>
    <x v="3"/>
    <d v="2026-08-24T00:00:00"/>
    <x v="3"/>
    <s v="Fazer reserva "/>
  </r>
  <r>
    <n v="15"/>
    <d v="2026-08-11T00:00:00"/>
    <s v="VANESSA/ CD"/>
    <s v="BAHIA "/>
    <x v="85"/>
    <x v="63"/>
    <s v="EMBALAGEM "/>
    <s v="CAIXA INDIVIDUAL"/>
    <x v="83"/>
    <x v="54"/>
    <s v="CM 400L"/>
    <n v="324"/>
    <m/>
    <n v="-324"/>
    <x v="21"/>
    <d v="2026-08-24T00:00:00"/>
    <x v="3"/>
    <s v="Fazer reserva "/>
  </r>
  <r>
    <n v="15"/>
    <d v="2026-08-11T00:00:00"/>
    <s v="VANESSA/ CD"/>
    <s v="BAHIA "/>
    <x v="77"/>
    <x v="64"/>
    <s v="EMBALAGEM "/>
    <s v="CAIXA COLETIVA"/>
    <x v="83"/>
    <x v="54"/>
    <s v="CM 400L"/>
    <n v="81"/>
    <m/>
    <n v="-81"/>
    <x v="3"/>
    <m/>
    <x v="2"/>
    <s v="Solicitar compra por e-mail"/>
  </r>
  <r>
    <n v="15"/>
    <d v="2026-08-11T00:00:00"/>
    <s v="VANESSA/ CD"/>
    <s v="BAHIA "/>
    <x v="87"/>
    <x v="73"/>
    <s v="EMBALAGEM "/>
    <s v="CAIXA INDIVIDUAL"/>
    <x v="90"/>
    <x v="61"/>
    <s v="CM 500N"/>
    <n v="1421"/>
    <m/>
    <n v="-1421"/>
    <x v="25"/>
    <d v="2026-09-10T00:00:00"/>
    <x v="3"/>
    <s v="Joao, em pedido"/>
  </r>
  <r>
    <n v="15"/>
    <d v="2026-08-11T00:00:00"/>
    <s v="VANESSA/ CD"/>
    <s v="BAHIA "/>
    <x v="23"/>
    <x v="21"/>
    <s v="EMBALAGEM "/>
    <s v="CAIXA INDIVIDUAL"/>
    <x v="31"/>
    <x v="17"/>
    <s v="CM 550L"/>
    <n v="1330"/>
    <m/>
    <n v="-1330"/>
    <x v="20"/>
    <d v="2026-09-21T00:00:00"/>
    <x v="3"/>
    <s v="Joao, em pedido"/>
  </r>
  <r>
    <n v="15"/>
    <d v="2026-08-11T00:00:00"/>
    <s v="VANESSA/ CD"/>
    <s v="BAHIA "/>
    <x v="83"/>
    <x v="70"/>
    <s v="EMBALAGEM "/>
    <s v="CAIXA INDIVIDUAL"/>
    <x v="88"/>
    <x v="59"/>
    <s v="CM650N"/>
    <n v="85"/>
    <n v="85"/>
    <n v="0"/>
    <x v="12"/>
    <d v="2026-08-19T00:00:00"/>
    <x v="0"/>
    <s v="NF 10"/>
  </r>
  <r>
    <n v="15"/>
    <d v="2026-08-11T00:00:00"/>
    <s v="VANESSA/ CD"/>
    <s v="BAHIA "/>
    <x v="65"/>
    <x v="57"/>
    <s v="EMBALAGEM "/>
    <s v="CAIXA INDIVIDUAL"/>
    <x v="71"/>
    <x v="47"/>
    <s v="TV 32 ANDROID"/>
    <n v="1781"/>
    <m/>
    <n v="-1781"/>
    <x v="21"/>
    <d v="2026-08-24T00:00:00"/>
    <x v="3"/>
    <s v="Fazer reserva "/>
  </r>
  <r>
    <n v="15"/>
    <d v="2026-08-11T00:00:00"/>
    <s v="VANESSA/ CD"/>
    <s v="BAHIA "/>
    <x v="88"/>
    <x v="70"/>
    <s v="EMBALAGEM "/>
    <s v="CAIXA INDIVIDUAL"/>
    <x v="88"/>
    <x v="59"/>
    <s v="CM650N"/>
    <n v="167"/>
    <m/>
    <n v="-167"/>
    <x v="3"/>
    <d v="2026-08-24T00:00:00"/>
    <x v="3"/>
    <s v="Fazer reserva "/>
  </r>
  <r>
    <n v="9"/>
    <d v="2026-05-19T00:00:00"/>
    <s v="VANESSA "/>
    <s v="BAHIA "/>
    <x v="83"/>
    <x v="70"/>
    <s v="EMBALAGEM "/>
    <s v="CAIXA INDIVIDUAL"/>
    <x v="88"/>
    <x v="59"/>
    <s v="CM650N"/>
    <n v="65"/>
    <n v="65"/>
    <n v="0"/>
    <x v="12"/>
    <d v="2026-08-19T00:00:00"/>
    <x v="0"/>
    <s v="NF 10"/>
  </r>
  <r>
    <m/>
    <m/>
    <m/>
    <m/>
    <x v="89"/>
    <x v="74"/>
    <m/>
    <m/>
    <x v="91"/>
    <x v="62"/>
    <m/>
    <m/>
    <m/>
    <m/>
    <x v="3"/>
    <m/>
    <x v="5"/>
    <m/>
  </r>
  <r>
    <m/>
    <m/>
    <m/>
    <m/>
    <x v="89"/>
    <x v="74"/>
    <m/>
    <m/>
    <x v="91"/>
    <x v="62"/>
    <m/>
    <m/>
    <m/>
    <m/>
    <x v="3"/>
    <m/>
    <x v="5"/>
    <m/>
  </r>
  <r>
    <m/>
    <m/>
    <m/>
    <m/>
    <x v="89"/>
    <x v="74"/>
    <m/>
    <m/>
    <x v="91"/>
    <x v="62"/>
    <m/>
    <m/>
    <m/>
    <m/>
    <x v="3"/>
    <m/>
    <x v="5"/>
    <m/>
  </r>
  <r>
    <m/>
    <m/>
    <m/>
    <m/>
    <x v="89"/>
    <x v="74"/>
    <m/>
    <m/>
    <x v="91"/>
    <x v="62"/>
    <m/>
    <m/>
    <m/>
    <m/>
    <x v="3"/>
    <m/>
    <x v="5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4">
  <r>
    <x v="0"/>
    <d v="2026-02-12T00:00:00"/>
    <x v="0"/>
    <x v="0"/>
    <s v="040117-0002-02"/>
    <s v="CX DE EMBALAGEM INDIVIDUAL AWS-BBS-01-B"/>
    <x v="0"/>
    <s v="CAIXA INDIVIDUAL"/>
    <s v="4899-01"/>
    <s v="BOOMBOX AWS-BBS-01-B BIVOLT"/>
    <s v="BBS PRETO"/>
    <n v="1540"/>
    <n v="1540"/>
    <n v="0"/>
    <d v="2026-03-19T00:00:00"/>
    <x v="0"/>
    <x v="0"/>
    <m/>
    <n v="29858"/>
    <s v="JXA2303"/>
    <d v="2026-04-16T00:00:00"/>
  </r>
  <r>
    <x v="0"/>
    <d v="2026-02-12T00:00:00"/>
    <x v="0"/>
    <x v="0"/>
    <s v="040117-0004-01"/>
    <s v="CX DE EMBALAGEM INDIVIDUAL AWS-BBS-01-BG"/>
    <x v="0"/>
    <s v="CAIXA INDIVIDUAL"/>
    <s v="5782-01"/>
    <s v="BOOMBOX AWS-BBS-01-BG BIVOLT"/>
    <s v="BBS BG"/>
    <n v="57"/>
    <n v="57"/>
    <n v="0"/>
    <d v="2026-03-19T00:00:00"/>
    <x v="0"/>
    <x v="0"/>
    <m/>
    <n v="29860"/>
    <s v="JXA2303"/>
    <d v="2026-04-16T00:00:00"/>
  </r>
  <r>
    <x v="0"/>
    <d v="2026-02-12T00:00:00"/>
    <x v="0"/>
    <x v="0"/>
    <s v="040117-0003-01"/>
    <s v="CX DE EMBALAGEM INDIVIDUAL AWS-BBS-01-GR"/>
    <x v="0"/>
    <s v="CAIXA INDIVIDUAL"/>
    <s v="4487-01"/>
    <s v="BOOMBOX AWS-BBS-01-GR BIVOLT"/>
    <s v="BBS GR"/>
    <n v="5"/>
    <n v="5"/>
    <n v="0"/>
    <d v="2026-03-19T00:00:00"/>
    <x v="1"/>
    <x v="0"/>
    <m/>
    <n v="29833"/>
    <s v="MNK6A35"/>
    <d v="2026-04-15T00:00:00"/>
  </r>
  <r>
    <x v="0"/>
    <d v="2026-02-12T00:00:00"/>
    <x v="0"/>
    <x v="0"/>
    <s v="040117-0001-01"/>
    <s v="CX DE EMBALAGEM INDIVIDUAL BX-18"/>
    <x v="0"/>
    <s v="CAIXA INDIVIDUAL"/>
    <s v="5141-04"/>
    <s v="BOOMBOX BX-18 BIVOLT UP ORANGE"/>
    <s v="BX 18"/>
    <n v="38"/>
    <m/>
    <n v="-38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141-04"/>
    <s v="BOOMBOX BX-18 BIVOLT UP ORANGE"/>
    <s v="BX 18"/>
    <n v="10"/>
    <m/>
    <n v="-10"/>
    <s v="TBC"/>
    <x v="2"/>
    <x v="1"/>
    <m/>
    <m/>
    <m/>
    <m/>
  </r>
  <r>
    <x v="0"/>
    <d v="2026-02-12T00:00:00"/>
    <x v="0"/>
    <x v="0"/>
    <s v="040117-0001-01"/>
    <s v="CX DE EMBALAGEM INDIVIDUAL BX-18"/>
    <x v="0"/>
    <s v="CAIXA INDIVIDUAL"/>
    <s v="5141-02"/>
    <s v="BOOMBOX BX-18 BIVOLT UP ORANGE"/>
    <s v="BX 18"/>
    <n v="4"/>
    <m/>
    <n v="-4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141-02"/>
    <s v="BOOMBOX BX-18 BIVOLT UP ORANGE"/>
    <s v="BX 18"/>
    <n v="1"/>
    <m/>
    <n v="-1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141-03"/>
    <s v="BOOMBOX BX-18 BIVOLT UP ORANGE"/>
    <s v="BX 18"/>
    <n v="5"/>
    <m/>
    <n v="-5"/>
    <s v="TBC"/>
    <x v="2"/>
    <x v="1"/>
    <m/>
    <m/>
    <m/>
    <m/>
  </r>
  <r>
    <x v="0"/>
    <d v="2026-02-12T00:00:00"/>
    <x v="0"/>
    <x v="0"/>
    <s v="2016-12"/>
    <s v="EMBALAGEM INDIVIDUAL BX-19 "/>
    <x v="0"/>
    <s v="CAIXA INDIVIDUAL"/>
    <s v="5241-01"/>
    <s v="BOOMBOX BX-19 BIVOLT UP DYNAMIC"/>
    <s v="BX 19"/>
    <n v="10"/>
    <m/>
    <n v="-10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241-01"/>
    <s v="BOOMBOX BX-19 BIVOLT UP DYNAMIC"/>
    <s v="BX 19"/>
    <n v="3"/>
    <m/>
    <n v="-3"/>
    <s v="TBC"/>
    <x v="2"/>
    <x v="1"/>
    <m/>
    <m/>
    <m/>
    <m/>
  </r>
  <r>
    <x v="0"/>
    <d v="2026-02-12T00:00:00"/>
    <x v="0"/>
    <x v="0"/>
    <s v="2016-12"/>
    <s v="EMBALAGEM INDIVIDUAL BX-19 "/>
    <x v="0"/>
    <s v="CAIXA INDIVIDUAL"/>
    <s v="5241-02"/>
    <s v="BOOMBOX BX-19 BIVOLT UP DYNAMIC"/>
    <s v="BX 19"/>
    <n v="2"/>
    <m/>
    <n v="-2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241-02"/>
    <s v="BOOMBOX BX-19 BIVOLT UP DYNAMIC"/>
    <s v="BX 19"/>
    <n v="2"/>
    <m/>
    <n v="-2"/>
    <s v="TBC"/>
    <x v="2"/>
    <x v="1"/>
    <m/>
    <m/>
    <m/>
    <m/>
  </r>
  <r>
    <x v="0"/>
    <d v="2026-02-12T00:00:00"/>
    <x v="0"/>
    <x v="0"/>
    <s v="2017-96"/>
    <s v="EMBALAGEM INDIVIDUAL BX-21 NV"/>
    <x v="0"/>
    <s v="CAIXA INDIVIDUAL"/>
    <s v="5243-02"/>
    <s v="BOOMBOX BX-21ML BIVOLT ."/>
    <s v="BX 21"/>
    <n v="73"/>
    <m/>
    <n v="-73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243-02"/>
    <s v="BOOMBOX BX-21ML BIVOLT ."/>
    <s v="BX 21"/>
    <n v="21"/>
    <m/>
    <n v="-21"/>
    <s v="TBC"/>
    <x v="2"/>
    <x v="1"/>
    <m/>
    <m/>
    <m/>
    <m/>
  </r>
  <r>
    <x v="0"/>
    <d v="2026-02-12T00:00:00"/>
    <x v="0"/>
    <x v="0"/>
    <s v="2017-96"/>
    <s v="EMBALAGEM INDIVIDUAL BX-21 NV"/>
    <x v="0"/>
    <s v="CAIXA INDIVIDUAL"/>
    <s v="5243-01"/>
    <s v="BOOMBOX BX-21ML BIVOLT ."/>
    <s v="BX 21"/>
    <n v="37"/>
    <m/>
    <n v="-37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243-01"/>
    <s v="BOOMBOX BX-21ML BIVOLT ."/>
    <s v="BX 21"/>
    <n v="10"/>
    <m/>
    <n v="-10"/>
    <s v="TBC"/>
    <x v="2"/>
    <x v="1"/>
    <m/>
    <m/>
    <m/>
    <m/>
  </r>
  <r>
    <x v="0"/>
    <d v="2026-02-12T00:00:00"/>
    <x v="0"/>
    <x v="0"/>
    <s v="040117-0005-01"/>
    <s v="CX DE EMBALAGEM INDIVIDUAL AWS-BBS-01-LB"/>
    <x v="0"/>
    <s v="CAIXA INDIVIDUAL"/>
    <s v="9531-01"/>
    <s v="BOOMBOX C/ LUZES AWS-BBS-01-LBL BIVOLT"/>
    <s v="BBS LBL"/>
    <n v="118"/>
    <n v="118"/>
    <n v="0"/>
    <d v="2026-03-19T00:00:00"/>
    <x v="1"/>
    <x v="0"/>
    <m/>
    <n v="29833"/>
    <s v="MNK6A35"/>
    <d v="2026-04-15T00:00:00"/>
  </r>
  <r>
    <x v="0"/>
    <d v="2026-02-12T00:00:00"/>
    <x v="0"/>
    <x v="0"/>
    <s v="2016-78"/>
    <s v="EMBALAGEM IND NBX-13 - REV.01"/>
    <x v="0"/>
    <s v="CAIXA INDIVIDUAL"/>
    <s v="5161-01"/>
    <s v="BOOMBOX NBX-13 BIVOLT UP BLACK"/>
    <s v="BX 13"/>
    <n v="172"/>
    <m/>
    <n v="-172"/>
    <s v="TBC"/>
    <x v="2"/>
    <x v="1"/>
    <m/>
    <m/>
    <m/>
    <m/>
  </r>
  <r>
    <x v="0"/>
    <d v="2026-02-12T00:00:00"/>
    <x v="0"/>
    <x v="0"/>
    <s v="2016-78"/>
    <s v="EMBALAGEM IND NBX-13 - REV.01"/>
    <x v="0"/>
    <s v="CAIXA INDIVIDUAL"/>
    <s v="5161-01"/>
    <s v="BOOMBOX NBX-13 BIVOLT UP BLACK"/>
    <s v="BX 13"/>
    <n v="46"/>
    <m/>
    <n v="-46"/>
    <s v="TBC"/>
    <x v="2"/>
    <x v="1"/>
    <m/>
    <m/>
    <m/>
    <m/>
  </r>
  <r>
    <x v="0"/>
    <d v="2026-02-12T00:00:00"/>
    <x v="0"/>
    <x v="0"/>
    <s v="2016-78"/>
    <s v="EMBALAGEM IND NBX-13 - REV.01"/>
    <x v="0"/>
    <s v="CAIXA INDIVIDUAL"/>
    <s v="5161-02"/>
    <s v="BOOMBOX NBX-13 BIVOLT UP BLACK"/>
    <s v="BX 13"/>
    <n v="36"/>
    <m/>
    <n v="-36"/>
    <s v="TBC"/>
    <x v="2"/>
    <x v="1"/>
    <m/>
    <m/>
    <m/>
    <m/>
  </r>
  <r>
    <x v="0"/>
    <d v="2026-02-12T00:00:00"/>
    <x v="0"/>
    <x v="0"/>
    <s v="2017-71"/>
    <s v="CAIXA EMBALAGEM COLETIVA BX-18"/>
    <x v="0"/>
    <s v="CAIXA COLETIVA"/>
    <s v="5161-02"/>
    <s v="BOOMBOX NBX-13 BIVOLT UP BLACK"/>
    <s v="BX 13"/>
    <n v="12"/>
    <m/>
    <n v="-12"/>
    <s v="TBC"/>
    <x v="2"/>
    <x v="1"/>
    <m/>
    <m/>
    <m/>
    <m/>
  </r>
  <r>
    <x v="0"/>
    <d v="2026-02-12T00:00:00"/>
    <x v="0"/>
    <x v="0"/>
    <s v="2019-23"/>
    <s v="EMBALAGEM INDIVIDUAL CM-13"/>
    <x v="0"/>
    <s v="CAIXA INDIVIDUAL"/>
    <s v="8323-03"/>
    <s v="CAIXA AMPLIFICADA CM-13 BIVOLT ."/>
    <s v="CM 13"/>
    <n v="1"/>
    <m/>
    <n v="-1"/>
    <s v="TBC"/>
    <x v="2"/>
    <x v="1"/>
    <m/>
    <m/>
    <m/>
    <m/>
  </r>
  <r>
    <x v="0"/>
    <d v="2026-02-12T00:00:00"/>
    <x v="0"/>
    <x v="0"/>
    <s v="2019-75"/>
    <s v="CAIXA DE EMBALAGEM INDIVIDUAL CM-14"/>
    <x v="0"/>
    <s v="CAIXA INDIVIDUAL"/>
    <s v="6840-02"/>
    <s v="CAIXA AMPLIFICADA CM-14 BIVOLT ."/>
    <s v="CM 14"/>
    <n v="1"/>
    <m/>
    <n v="-1"/>
    <s v="TBC"/>
    <x v="2"/>
    <x v="1"/>
    <m/>
    <m/>
    <m/>
    <m/>
  </r>
  <r>
    <x v="0"/>
    <d v="2026-02-12T00:00:00"/>
    <x v="0"/>
    <x v="0"/>
    <s v="040225-0002-02"/>
    <s v="CX DE EMBALAGEM COLETIVA CM-150/CM-220-N"/>
    <x v="0"/>
    <s v="CAIXA COLETIVA"/>
    <s v="5487-01"/>
    <s v="CAIXA AMPLIFICADA CM-150 BIVOLT ."/>
    <s v="CM150"/>
    <n v="200"/>
    <m/>
    <n v="-200"/>
    <m/>
    <x v="3"/>
    <x v="2"/>
    <s v="Solicitar compra por e-mail"/>
    <m/>
    <m/>
    <m/>
  </r>
  <r>
    <x v="0"/>
    <d v="2026-02-12T00:00:00"/>
    <x v="0"/>
    <x v="0"/>
    <s v="040125-0018-01"/>
    <s v="CX DE EMBALAGEM INDIVIDUAL CM-150"/>
    <x v="0"/>
    <s v="CAIXA INDIVIDUAL"/>
    <s v="5487-02"/>
    <s v="CAIXA AMPLIFICADA CM-150 BIVOLT ."/>
    <s v="CM150"/>
    <n v="580"/>
    <n v="580"/>
    <n v="0"/>
    <d v="2026-05-11T00:00:00"/>
    <x v="4"/>
    <x v="0"/>
    <m/>
    <n v="30305"/>
    <s v="JXU2478"/>
    <d v="2026-06-11T00:00:00"/>
  </r>
  <r>
    <x v="0"/>
    <d v="2026-02-12T00:00:00"/>
    <x v="0"/>
    <x v="0"/>
    <s v="040225-0002-02"/>
    <s v="CX DE EMBALAGEM COLETIVA CM-150/CM-220-N"/>
    <x v="0"/>
    <s v="CAIXA COLETIVA"/>
    <s v="5487-02"/>
    <s v="CAIXA AMPLIFICADA CM-150 BIVOLT ."/>
    <s v="CM150"/>
    <n v="406"/>
    <m/>
    <n v="-406"/>
    <m/>
    <x v="3"/>
    <x v="2"/>
    <s v="Solicitar compra por e-mail"/>
    <m/>
    <m/>
    <m/>
  </r>
  <r>
    <x v="0"/>
    <d v="2026-02-12T00:00:00"/>
    <x v="0"/>
    <x v="0"/>
    <s v="2019-77"/>
    <s v="CAIXA EMBALAGEM INDIVIDUAL CM-16"/>
    <x v="0"/>
    <s v="CAIXA INDIVIDUAL"/>
    <s v="5595-01"/>
    <s v="CAIXA AMPLIFICADA CM-16 BIVOLT ."/>
    <s v="CM 16"/>
    <n v="1"/>
    <m/>
    <n v="-1"/>
    <s v="TBC"/>
    <x v="2"/>
    <x v="1"/>
    <m/>
    <m/>
    <m/>
    <m/>
  </r>
  <r>
    <x v="0"/>
    <d v="2026-02-12T00:00:00"/>
    <x v="0"/>
    <x v="0"/>
    <s v="040125-0002-02"/>
    <s v="CX DE EMBALAGEM INDIVIDUAL CM-250"/>
    <x v="0"/>
    <s v="CAIXA INDIVIDUAL"/>
    <s v="2108-01"/>
    <s v="CAIXA AMPLIFICADA CM-250 BIVOLT ."/>
    <s v="CM 250"/>
    <n v="108"/>
    <n v="108"/>
    <n v="0"/>
    <d v="2026-05-11T00:00:00"/>
    <x v="5"/>
    <x v="0"/>
    <m/>
    <n v="30384"/>
    <s v="JXB1402"/>
    <d v="2026-06-16T00:00:00"/>
  </r>
  <r>
    <x v="0"/>
    <d v="2026-02-12T00:00:00"/>
    <x v="0"/>
    <x v="0"/>
    <s v="040225-0003-01"/>
    <s v="CX DE EMBALAGEM COLETIVA CM-250"/>
    <x v="0"/>
    <s v="CAIXA COLETIVA"/>
    <s v="2108-01"/>
    <s v="CAIXA AMPLIFICADA CM-250 BIVOLT ."/>
    <s v="CM 250"/>
    <n v="30"/>
    <n v="30"/>
    <n v="0"/>
    <d v="2026-03-19T00:00:00"/>
    <x v="6"/>
    <x v="0"/>
    <m/>
    <n v="29913"/>
    <s v="JXA5313"/>
    <d v="2026-05-04T00:00:00"/>
  </r>
  <r>
    <x v="0"/>
    <d v="2026-02-12T00:00:00"/>
    <x v="0"/>
    <x v="0"/>
    <s v="040125-0002-02"/>
    <s v="CX DE EMBALAGEM INDIVIDUAL CM-250"/>
    <x v="0"/>
    <s v="CAIXA INDIVIDUAL"/>
    <s v="2108-02"/>
    <s v="CAIXA AMPLIFICADA CM-250 BIVOLT ."/>
    <s v="CM 250"/>
    <n v="19"/>
    <n v="19"/>
    <n v="0"/>
    <d v="2026-05-11T00:00:00"/>
    <x v="5"/>
    <x v="0"/>
    <m/>
    <n v="30384"/>
    <s v="JXB1402"/>
    <d v="2026-06-16T00:00:00"/>
  </r>
  <r>
    <x v="0"/>
    <d v="2026-02-12T00:00:00"/>
    <x v="0"/>
    <x v="0"/>
    <s v="040225-0003-01"/>
    <s v="CX DE EMBALAGEM COLETIVA CM-250"/>
    <x v="0"/>
    <s v="CAIXA COLETIVA"/>
    <s v="2108-02"/>
    <s v="CAIXA AMPLIFICADA CM-250 BIVOLT ."/>
    <s v="CM 250"/>
    <n v="8"/>
    <n v="8"/>
    <n v="0"/>
    <d v="2026-03-19T00:00:00"/>
    <x v="6"/>
    <x v="0"/>
    <m/>
    <n v="29913"/>
    <s v="JXA5313"/>
    <d v="2026-05-04T00:00:00"/>
  </r>
  <r>
    <x v="0"/>
    <d v="2026-02-12T00:00:00"/>
    <x v="0"/>
    <x v="0"/>
    <s v="040225-0003-01"/>
    <s v="CX DE EMBALAGEM COLETIVA CM-250"/>
    <x v="0"/>
    <s v="CAIXA COLETIVA"/>
    <s v="2108-03"/>
    <s v="CAIXA AMPLIFICADA CM-250 BIVOLT ."/>
    <s v="CM 250"/>
    <n v="236"/>
    <n v="236"/>
    <n v="0"/>
    <d v="2026-03-19T00:00:00"/>
    <x v="6"/>
    <x v="0"/>
    <m/>
    <n v="29913"/>
    <s v="JXA5313"/>
    <d v="2026-05-04T00:00:00"/>
  </r>
  <r>
    <x v="0"/>
    <d v="2026-02-12T00:00:00"/>
    <x v="0"/>
    <x v="0"/>
    <s v="040125-0012-01"/>
    <s v="CX DE EMBALAGEM INDIVIDUAL CM-400"/>
    <x v="0"/>
    <s v="CAIXA INDIVIDUAL"/>
    <s v="0685-04"/>
    <s v="CAIXA AMPLIFICADA CM-400 BIVOLT ."/>
    <s v="CM400"/>
    <n v="2360"/>
    <n v="2360"/>
    <n v="0"/>
    <d v="2026-04-27T00:00:00"/>
    <x v="1"/>
    <x v="0"/>
    <m/>
    <n v="29832"/>
    <s v="MNK6A35"/>
    <d v="2026-04-15T00:00:00"/>
  </r>
  <r>
    <x v="0"/>
    <d v="2026-02-12T00:00:00"/>
    <x v="0"/>
    <x v="0"/>
    <s v="040125-0012-01"/>
    <s v="CX DE EMBALAGEM INDIVIDUAL CM-400"/>
    <x v="0"/>
    <s v="CAIXA INDIVIDUAL"/>
    <s v="0685-03"/>
    <s v="CAIXA AMPLIFICADA CM-400 BIVOLT ."/>
    <s v="CM400"/>
    <n v="485"/>
    <n v="485"/>
    <n v="0"/>
    <d v="2026-04-27T00:00:00"/>
    <x v="1"/>
    <x v="0"/>
    <m/>
    <n v="29832"/>
    <s v="MNK6A35"/>
    <d v="2026-04-15T00:00:00"/>
  </r>
  <r>
    <x v="0"/>
    <d v="2026-02-12T00:00:00"/>
    <x v="0"/>
    <x v="0"/>
    <s v="2016-52"/>
    <s v="EMBALAGEM INDIVIDUAL CM-400 AMPLA"/>
    <x v="0"/>
    <s v="CAIXA INDIVIDUAL"/>
    <s v="0685-01"/>
    <s v="CAIXA AMPLIFICADA CM-400 BIVOLT ."/>
    <s v="CM400"/>
    <n v="34"/>
    <n v="34"/>
    <n v="0"/>
    <d v="2026-05-11T00:00:00"/>
    <x v="5"/>
    <x v="0"/>
    <m/>
    <n v="30384"/>
    <s v="JXB1402"/>
    <d v="2026-06-16T00:00:00"/>
  </r>
  <r>
    <x v="0"/>
    <d v="2026-02-12T00:00:00"/>
    <x v="0"/>
    <x v="0"/>
    <s v="040125-0010-01"/>
    <s v="CX DE EMBALAGEM INDIVIDUAL CM-400"/>
    <x v="0"/>
    <s v="CAIXA INDIVIDUAL"/>
    <s v="0685-02"/>
    <s v="CAIXA AMPLIFICADA CM-400 BIVOLT ."/>
    <s v="CM400"/>
    <n v="185"/>
    <n v="185"/>
    <n v="0"/>
    <d v="2026-05-11T00:00:00"/>
    <x v="5"/>
    <x v="0"/>
    <m/>
    <n v="30384"/>
    <s v="JXB1402"/>
    <d v="2026-06-16T00:00:00"/>
  </r>
  <r>
    <x v="0"/>
    <d v="2026-02-12T00:00:00"/>
    <x v="0"/>
    <x v="0"/>
    <s v="2016-52"/>
    <s v="EMBALAGEM INDIVIDUAL CM-400 AMPLA"/>
    <x v="0"/>
    <s v="CAIXA INDIVIDUAL"/>
    <s v="0685-01"/>
    <s v="CAIXA AMPLIFICADA CM-400 BIVOLT ."/>
    <s v="CM400"/>
    <n v="170"/>
    <n v="170"/>
    <n v="0"/>
    <d v="2026-05-11T00:00:00"/>
    <x v="5"/>
    <x v="0"/>
    <m/>
    <n v="30384"/>
    <s v="JXB1402"/>
    <d v="2026-06-16T00:00:00"/>
  </r>
  <r>
    <x v="0"/>
    <d v="2026-02-12T00:00:00"/>
    <x v="0"/>
    <x v="0"/>
    <s v="2017-22"/>
    <s v="EMBALAGEM IND PARDA CM500 - ONDA BC"/>
    <x v="0"/>
    <s v="CAIXA INDIVIDUAL"/>
    <s v="1705-02"/>
    <s v="CAIXA AMPLIFICADA CM-500 BIVOLT ."/>
    <s v="CM 500"/>
    <n v="15"/>
    <m/>
    <n v="-15"/>
    <s v="TBC"/>
    <x v="2"/>
    <x v="1"/>
    <m/>
    <m/>
    <m/>
    <m/>
  </r>
  <r>
    <x v="0"/>
    <d v="2026-02-12T00:00:00"/>
    <x v="0"/>
    <x v="0"/>
    <s v="2017-18"/>
    <s v="EMBALAGEM INDIVIDUAL CM-500 ONDA B"/>
    <x v="0"/>
    <s v="CAIXA INDIVIDUAL"/>
    <s v="1705-01"/>
    <s v="CAIXA AMPLIFICADA CM-500 BIVOLT."/>
    <s v="CM 500"/>
    <n v="22"/>
    <m/>
    <n v="-22"/>
    <s v="TBC"/>
    <x v="2"/>
    <x v="1"/>
    <m/>
    <m/>
    <m/>
    <m/>
  </r>
  <r>
    <x v="0"/>
    <d v="2026-02-12T00:00:00"/>
    <x v="0"/>
    <x v="0"/>
    <s v="040125-0004-01"/>
    <s v="CX DE EMBALAGEM INDIVIDUAL CM-550"/>
    <x v="0"/>
    <s v="CAIXA INDIVIDUAL"/>
    <s v="2555-01"/>
    <s v="CAIXA AMPLIFICADA CM-550 BIVOLT ."/>
    <s v="CM 550"/>
    <n v="310"/>
    <n v="310"/>
    <n v="0"/>
    <d v="2026-06-25T00:00:00"/>
    <x v="7"/>
    <x v="0"/>
    <m/>
    <n v="30873"/>
    <s v="JXA4382"/>
    <d v="2026-07-25T00:00:00"/>
  </r>
  <r>
    <x v="0"/>
    <d v="2026-02-12T00:00:00"/>
    <x v="0"/>
    <x v="0"/>
    <s v="040125-0004-01"/>
    <s v="CX DE EMBALAGEM INDIVIDUAL CM-550"/>
    <x v="0"/>
    <s v="CAIXA INDIVIDUAL"/>
    <s v="2555-03"/>
    <s v="CAIXA AMPLIFICADA CM-550 BIVOLT ."/>
    <s v="CM 550"/>
    <n v="262"/>
    <n v="262"/>
    <n v="0"/>
    <d v="2026-06-25T00:00:00"/>
    <x v="7"/>
    <x v="0"/>
    <m/>
    <n v="30873"/>
    <s v="JXA4382"/>
    <d v="2026-07-25T00:00:00"/>
  </r>
  <r>
    <x v="0"/>
    <d v="2026-02-12T00:00:00"/>
    <x v="0"/>
    <x v="0"/>
    <s v="040125-0004-01"/>
    <s v="CX DE EMBALAGEM INDIVIDUAL CM-550"/>
    <x v="0"/>
    <s v="CAIXA INDIVIDUAL"/>
    <s v="2555-04"/>
    <s v="CAIXA AMPLIFICADA CM-550 BIVOLT ."/>
    <s v="CM 550"/>
    <n v="19"/>
    <n v="19"/>
    <n v="0"/>
    <d v="2026-06-25T00:00:00"/>
    <x v="7"/>
    <x v="0"/>
    <m/>
    <n v="30873"/>
    <s v="JXA4382"/>
    <d v="2026-07-25T00:00:00"/>
  </r>
  <r>
    <x v="0"/>
    <d v="2026-02-12T00:00:00"/>
    <x v="0"/>
    <x v="0"/>
    <s v="040125-0014-01"/>
    <s v="CX DE EMBALAGEM INDIVIDUAL CM-550"/>
    <x v="0"/>
    <s v="CAIXA INDIVIDUAL"/>
    <s v="2555-05"/>
    <s v="CAIXA AMPLIFICADA CM-550 BIVOLT ."/>
    <s v="CM 550"/>
    <n v="330"/>
    <n v="330"/>
    <n v="0"/>
    <d v="2026-03-19T00:00:00"/>
    <x v="6"/>
    <x v="0"/>
    <m/>
    <n v="29913"/>
    <s v="JXA5313"/>
    <d v="2026-05-04T00:00:00"/>
  </r>
  <r>
    <x v="0"/>
    <d v="2026-02-12T00:00:00"/>
    <x v="0"/>
    <x v="0"/>
    <s v="040125-0014-01"/>
    <s v="CX DE EMBALAGEM INDIVIDUAL CM-550"/>
    <x v="0"/>
    <s v="CAIXA INDIVIDUAL"/>
    <s v="2555-05"/>
    <s v="CAIXA AMPLIFICADA CM-550 BIVOLT ."/>
    <s v="CM 550"/>
    <n v="10"/>
    <n v="10"/>
    <n v="0"/>
    <d v="2026-03-19T00:00:00"/>
    <x v="8"/>
    <x v="0"/>
    <m/>
    <n v="30030"/>
    <s v="DJF1135"/>
    <d v="2026-05-11T00:00:00"/>
  </r>
  <r>
    <x v="0"/>
    <d v="2026-02-12T00:00:00"/>
    <x v="0"/>
    <x v="0"/>
    <s v="040125-0004-01"/>
    <s v="CX DE EMBALAGEM INDIVIDUAL CM-550"/>
    <x v="0"/>
    <s v="CAIXA INDIVIDUAL"/>
    <s v="2555-05"/>
    <s v="CAIXA AMPLIFICADA CM-550 BIVOLT ."/>
    <s v="CM 550"/>
    <n v="545"/>
    <n v="545"/>
    <n v="0"/>
    <d v="2026-06-25T00:00:00"/>
    <x v="7"/>
    <x v="0"/>
    <m/>
    <n v="30873"/>
    <s v="JXA4382"/>
    <d v="2026-07-25T00:00:00"/>
  </r>
  <r>
    <x v="0"/>
    <d v="2026-02-12T00:00:00"/>
    <x v="0"/>
    <x v="0"/>
    <s v="040125-0030-01"/>
    <s v="CX DE EMBALAGEM INDIVIDUAL CM-550-L"/>
    <x v="0"/>
    <s v="CAIXA INDIVIDUAL"/>
    <s v="8999-01"/>
    <s v="CAIXA AMPLIFICADA CM-550-L BIVOLT ."/>
    <s v="CM 550L"/>
    <n v="215"/>
    <n v="215"/>
    <n v="0"/>
    <d v="2026-05-11T00:00:00"/>
    <x v="4"/>
    <x v="0"/>
    <m/>
    <n v="30305"/>
    <s v="JXU2478"/>
    <d v="2026-06-11T00:00:00"/>
  </r>
  <r>
    <x v="0"/>
    <d v="2026-02-12T00:00:00"/>
    <x v="0"/>
    <x v="0"/>
    <s v="030625-0001-01"/>
    <s v="RÓTULO DE IDENTIF CM-700"/>
    <x v="1"/>
    <s v="ROTULO"/>
    <s v="9915-02"/>
    <s v="CAIXA AMPLIFICADA CM-700 BIVOLT ."/>
    <s v="CM 700"/>
    <n v="28"/>
    <m/>
    <n v="-28"/>
    <m/>
    <x v="3"/>
    <x v="2"/>
    <s v="Solicitar compra por e-mail"/>
    <m/>
    <m/>
    <m/>
  </r>
  <r>
    <x v="0"/>
    <d v="2026-02-12T00:00:00"/>
    <x v="0"/>
    <x v="0"/>
    <s v="040125-0009-01"/>
    <s v="CX DE EMBALAGEM INDIVIDUAL CM-700"/>
    <x v="0"/>
    <s v="CAIXA INDIVIDUAL"/>
    <s v="9915-01"/>
    <s v="CAIXA AMPLIFICADA CM-700 BIVOLT ."/>
    <s v="CM 700"/>
    <n v="28"/>
    <m/>
    <n v="-28"/>
    <m/>
    <x v="3"/>
    <x v="2"/>
    <s v="Solicitar compra por e-mail"/>
    <m/>
    <m/>
    <m/>
  </r>
  <r>
    <x v="0"/>
    <d v="2026-02-12T00:00:00"/>
    <x v="0"/>
    <x v="0"/>
    <s v="040125-0009-01"/>
    <s v="CX DE EMBALAGEM INDIVIDUAL CM-700"/>
    <x v="0"/>
    <s v="CAIXA INDIVIDUAL"/>
    <s v="9915-02"/>
    <s v="CAIXA AMPLIFICADA CM-700 BIVOLT ."/>
    <s v="CM 700"/>
    <n v="40"/>
    <m/>
    <n v="-40"/>
    <m/>
    <x v="3"/>
    <x v="2"/>
    <s v="Solicitar compra por e-mail"/>
    <m/>
    <m/>
    <m/>
  </r>
  <r>
    <x v="0"/>
    <d v="2026-02-12T00:00:00"/>
    <x v="0"/>
    <x v="0"/>
    <s v="030625-0001-01"/>
    <s v="RÓTULO DE IDENTIF CM-700"/>
    <x v="1"/>
    <s v="ROTULO"/>
    <s v="9915-02"/>
    <s v="CAIXA AMPLIFICADA CM-700 BIVOLT ."/>
    <s v="CM 700"/>
    <n v="589"/>
    <m/>
    <n v="-589"/>
    <m/>
    <x v="3"/>
    <x v="2"/>
    <s v="Solicitar compra por e-mail"/>
    <m/>
    <m/>
    <m/>
  </r>
  <r>
    <x v="0"/>
    <d v="2026-02-12T00:00:00"/>
    <x v="0"/>
    <x v="0"/>
    <s v="040125-0009-01"/>
    <s v="CX DE EMBALAGEM INDIVIDUAL CM-700"/>
    <x v="0"/>
    <s v="CAIXA INDIVIDUAL"/>
    <s v="9915-03"/>
    <s v="CAIXA AMPLIFICADA CM-700 BIVOLT ."/>
    <s v="CM 700"/>
    <n v="589"/>
    <m/>
    <n v="-589"/>
    <m/>
    <x v="3"/>
    <x v="2"/>
    <s v="Solicitar compra por e-mail"/>
    <m/>
    <m/>
    <m/>
  </r>
  <r>
    <x v="0"/>
    <d v="2026-02-12T00:00:00"/>
    <x v="0"/>
    <x v="0"/>
    <s v="2010-60"/>
    <s v="EMBALAGEM INDIVIDUAL MCO-14"/>
    <x v="0"/>
    <s v="CAIXA INDIVIDUAL"/>
    <s v="0645-01"/>
    <s v="CAIXA AMPLIFICADA MCO-14 BIVOLT ."/>
    <s v="MCO 14"/>
    <n v="15"/>
    <m/>
    <n v="-15"/>
    <s v="TBC"/>
    <x v="2"/>
    <x v="1"/>
    <m/>
    <m/>
    <m/>
    <m/>
  </r>
  <r>
    <x v="0"/>
    <d v="2026-02-12T00:00:00"/>
    <x v="0"/>
    <x v="0"/>
    <s v="2010-60"/>
    <s v="EMBALAGEM INDIVIDUAL MCO-14"/>
    <x v="0"/>
    <s v="CAIXA INDIVIDUAL"/>
    <s v="0645-01"/>
    <s v="CAIXA AMPLIFICADA MCO-14 BIVOLT ."/>
    <s v="MCO 14"/>
    <n v="4"/>
    <m/>
    <n v="-4"/>
    <s v="TBC"/>
    <x v="2"/>
    <x v="1"/>
    <m/>
    <m/>
    <m/>
    <m/>
  </r>
  <r>
    <x v="0"/>
    <d v="2026-02-12T00:00:00"/>
    <x v="0"/>
    <x v="0"/>
    <s v="1116-33"/>
    <s v="CAIXA EMBALAGEM INDIVIDUAL DVD D-14"/>
    <x v="0"/>
    <s v="CAIXA INDIVIDUAL"/>
    <s v="6010-01"/>
    <s v="DVD D-14 BIVOLT GAME STAR II"/>
    <s v="DVD"/>
    <n v="1"/>
    <m/>
    <n v="-1"/>
    <s v="TBC"/>
    <x v="2"/>
    <x v="1"/>
    <m/>
    <m/>
    <m/>
    <m/>
  </r>
  <r>
    <x v="0"/>
    <d v="2026-02-12T00:00:00"/>
    <x v="0"/>
    <x v="0"/>
    <s v="1116-32"/>
    <s v="CAIXA EMBALAGEM COLETIVA DVD D-14"/>
    <x v="0"/>
    <s v="CAIXA COLETIVA"/>
    <s v="6010-01"/>
    <s v="DVD D-14 BIVOLT GAME STAR II"/>
    <s v="DVD"/>
    <n v="1"/>
    <m/>
    <n v="-1"/>
    <s v="TBC"/>
    <x v="2"/>
    <x v="1"/>
    <m/>
    <m/>
    <m/>
    <m/>
  </r>
  <r>
    <x v="0"/>
    <d v="2026-02-12T00:00:00"/>
    <x v="0"/>
    <x v="0"/>
    <s v="1114-42"/>
    <s v="EMBALAGEM INDIVIDUAL DVD D-15"/>
    <x v="0"/>
    <s v="CAIXA INDIVIDUAL"/>
    <s v="4860-01"/>
    <s v="DVD D-15 BIVOLT KARAOKE USB"/>
    <s v="DVD"/>
    <n v="15"/>
    <m/>
    <n v="-15"/>
    <s v="TBC"/>
    <x v="2"/>
    <x v="1"/>
    <m/>
    <m/>
    <m/>
    <m/>
  </r>
  <r>
    <x v="0"/>
    <d v="2026-02-12T00:00:00"/>
    <x v="0"/>
    <x v="0"/>
    <s v="1116-38"/>
    <s v="EMBALAGEM COLETIVA DVD D-15"/>
    <x v="0"/>
    <s v="CAIXA COLETIVA"/>
    <s v="4860-01"/>
    <s v="DVD D-15 BIVOLT KARAOKE USB"/>
    <s v="DVD"/>
    <n v="3"/>
    <m/>
    <n v="-3"/>
    <s v="TBC"/>
    <x v="2"/>
    <x v="1"/>
    <m/>
    <m/>
    <m/>
    <m/>
  </r>
  <r>
    <x v="0"/>
    <d v="2026-02-12T00:00:00"/>
    <x v="0"/>
    <x v="0"/>
    <s v="1114-51"/>
    <s v="CAIXA EMBALAGEM INDIVIDUAL DVD D-18"/>
    <x v="0"/>
    <s v="CAIXA INDIVIDUAL"/>
    <s v="6014-01"/>
    <s v="DVD D-18 BIVOLT ."/>
    <s v="DVD"/>
    <n v="3"/>
    <m/>
    <n v="-3"/>
    <s v="TBC"/>
    <x v="2"/>
    <x v="1"/>
    <m/>
    <m/>
    <m/>
    <m/>
  </r>
  <r>
    <x v="0"/>
    <d v="2026-02-12T00:00:00"/>
    <x v="0"/>
    <x v="0"/>
    <s v="1116-38"/>
    <s v="EMBALAGEM COLETIVA DVD D-15"/>
    <x v="0"/>
    <s v="CAIXA COLETIVA"/>
    <s v="6014-01"/>
    <s v="DVD D-18 BIVOLT ."/>
    <s v="DVD"/>
    <n v="1"/>
    <m/>
    <n v="-1"/>
    <s v="TBC"/>
    <x v="2"/>
    <x v="1"/>
    <m/>
    <m/>
    <m/>
    <m/>
  </r>
  <r>
    <x v="0"/>
    <d v="2026-02-12T00:00:00"/>
    <x v="0"/>
    <x v="0"/>
    <s v="2017-95"/>
    <s v="EMBALAGEM IND DVD D-20 "/>
    <x v="0"/>
    <s v="CAIXA INDIVIDUAL"/>
    <s v="4865-01"/>
    <s v="DVD D-20 BIVOLT KARAOKE"/>
    <s v="DVD"/>
    <n v="263"/>
    <m/>
    <n v="-263"/>
    <s v="TBC"/>
    <x v="2"/>
    <x v="1"/>
    <m/>
    <m/>
    <m/>
    <m/>
  </r>
  <r>
    <x v="0"/>
    <d v="2026-02-12T00:00:00"/>
    <x v="0"/>
    <x v="0"/>
    <s v="2017-73"/>
    <s v="EMBALAGEM COLETIVA PARDA DVD ONDA C"/>
    <x v="0"/>
    <s v="CAIXA COLETIVA"/>
    <s v="4865-01"/>
    <s v="DVD D-20 BIVOLT KARAOKE"/>
    <s v="DVD"/>
    <n v="67"/>
    <m/>
    <n v="-67"/>
    <s v="TBC"/>
    <x v="2"/>
    <x v="1"/>
    <m/>
    <m/>
    <m/>
    <m/>
  </r>
  <r>
    <x v="0"/>
    <d v="2026-02-12T00:00:00"/>
    <x v="0"/>
    <x v="0"/>
    <s v="2019-90"/>
    <s v="EMBALAGEM INDIVIDUAL DVD D-21"/>
    <x v="0"/>
    <s v="CAIXA INDIVIDUAL"/>
    <s v="2955-01"/>
    <s v="DVD D-21 BIVOLT ."/>
    <s v="DVD"/>
    <n v="33"/>
    <m/>
    <n v="-33"/>
    <s v="TBC"/>
    <x v="2"/>
    <x v="1"/>
    <m/>
    <m/>
    <m/>
    <m/>
  </r>
  <r>
    <x v="0"/>
    <d v="2026-02-12T00:00:00"/>
    <x v="0"/>
    <x v="0"/>
    <s v="2019-72"/>
    <s v="CAIXA EMBALAGEM COLETIVA DVD D-14"/>
    <x v="0"/>
    <s v="CAIXA COLETIVA"/>
    <s v="2955-01"/>
    <s v="DVD D-21 BIVOLT ."/>
    <s v="DVD"/>
    <n v="8"/>
    <m/>
    <n v="-8"/>
    <s v="TBC"/>
    <x v="2"/>
    <x v="1"/>
    <m/>
    <m/>
    <m/>
    <m/>
  </r>
  <r>
    <x v="0"/>
    <d v="2026-02-12T00:00:00"/>
    <x v="0"/>
    <x v="0"/>
    <s v="2019-93"/>
    <s v="EMBALAGEM INDIVIDUAL DVD D-22"/>
    <x v="0"/>
    <s v="CAIXA INDIVIDUAL"/>
    <s v="1455-01"/>
    <s v="DVD D-22 BIVOLT ."/>
    <s v="DVD"/>
    <n v="31"/>
    <m/>
    <n v="-31"/>
    <s v="TBC"/>
    <x v="2"/>
    <x v="1"/>
    <m/>
    <m/>
    <m/>
    <m/>
  </r>
  <r>
    <x v="0"/>
    <d v="2026-02-12T00:00:00"/>
    <x v="0"/>
    <x v="0"/>
    <s v="2019-69"/>
    <s v="CAIXA EMBALAGEM COLETIVA DVD"/>
    <x v="0"/>
    <s v="CAIXA COLETIVA"/>
    <s v="1455-01"/>
    <s v="DVD D-22 BIVOLT ."/>
    <s v="DVD"/>
    <n v="6"/>
    <m/>
    <n v="-6"/>
    <s v="TBC"/>
    <x v="2"/>
    <x v="1"/>
    <m/>
    <m/>
    <m/>
    <m/>
  </r>
  <r>
    <x v="0"/>
    <d v="2026-02-12T00:00:00"/>
    <x v="0"/>
    <x v="0"/>
    <s v="030623-0001-02"/>
    <s v="RÓTULO DE IDENTIF BLACK 21L 450X250MM"/>
    <x v="1"/>
    <s v="ROTULO"/>
    <s v="5615-01"/>
    <s v="MICRO-ONDAS MO-01-21-B 127V/60HZ"/>
    <s v="MO 21L"/>
    <n v="80"/>
    <n v="80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5-01"/>
    <s v="MICRO-ONDAS MO-01-21-B 127V/60HZ"/>
    <s v="MO 21L"/>
    <n v="80"/>
    <n v="80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5-01"/>
    <s v="MICRO-ONDAS MO-01-21-B 127V/60HZ"/>
    <s v="MO 21L"/>
    <n v="80"/>
    <n v="80"/>
    <n v="0"/>
    <d v="2026-05-11T00:00:00"/>
    <x v="10"/>
    <x v="0"/>
    <m/>
    <n v="30369"/>
    <s v="JXB0662"/>
    <d v="2026-06-15T00:00:00"/>
  </r>
  <r>
    <x v="0"/>
    <d v="2026-02-12T00:00:00"/>
    <x v="0"/>
    <x v="0"/>
    <s v="030623-0006-01"/>
    <s v="RÓTULO DE IDENTIF BLACK 21L 450X250MM"/>
    <x v="1"/>
    <s v="ROTULO"/>
    <s v="5615-03"/>
    <s v="MICRO-ONDAS MO-01-21-B 127V/60HZ"/>
    <s v="MO 21L"/>
    <n v="457"/>
    <n v="457"/>
    <n v="0"/>
    <d v="2026-03-10T00:00:00"/>
    <x v="9"/>
    <x v="0"/>
    <m/>
    <n v="29831"/>
    <s v="MNK6A35"/>
    <d v="2026-04-14T00:00:00"/>
  </r>
  <r>
    <x v="0"/>
    <d v="2026-02-12T00:00:00"/>
    <x v="0"/>
    <x v="0"/>
    <s v="040323-0001-01"/>
    <s v="CALÇO DE EPS INFERIOR 21L 480X385X150MM"/>
    <x v="1"/>
    <s v="CALÇO"/>
    <s v="5615-03"/>
    <s v="MICRO-ONDAS MO-01-21-B 127V/60HZ"/>
    <s v="MO 21L"/>
    <n v="457"/>
    <n v="457"/>
    <n v="0"/>
    <d v="2026-05-11T00:00:00"/>
    <x v="10"/>
    <x v="0"/>
    <m/>
    <n v="30369"/>
    <s v="JXB0662"/>
    <d v="2026-06-15T00:00:00"/>
  </r>
  <r>
    <x v="0"/>
    <d v="2026-02-12T00:00:00"/>
    <x v="0"/>
    <x v="0"/>
    <s v="040323-0003-01"/>
    <s v="CALÇO DE EPS SUPERIOR 21L 480X385X150MM"/>
    <x v="1"/>
    <s v="CALÇO"/>
    <s v="5615-03"/>
    <s v="MICRO-ONDAS MO-01-21-B 127V/60HZ"/>
    <s v="MO 21L"/>
    <n v="457"/>
    <n v="457"/>
    <n v="0"/>
    <d v="2026-05-11T00:00:00"/>
    <x v="10"/>
    <x v="0"/>
    <m/>
    <n v="30369"/>
    <s v="JXB0662"/>
    <d v="2026-06-15T00:00:00"/>
  </r>
  <r>
    <x v="0"/>
    <d v="2026-02-12T00:00:00"/>
    <x v="0"/>
    <x v="0"/>
    <s v="030623-0001-02"/>
    <s v="RÓTULO DE IDENTIF BLACK 21L 450X250MM"/>
    <x v="1"/>
    <s v="ROTULO"/>
    <s v="5615-02"/>
    <s v="MICRO-ONDAS MO-01-21-B 220V/60HZ ."/>
    <s v="MO 21L"/>
    <n v="229"/>
    <n v="229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5-02"/>
    <s v="MICRO-ONDAS MO-01-21-B 220V/60HZ ."/>
    <s v="MO 21L"/>
    <n v="229"/>
    <n v="229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5-02"/>
    <s v="MICRO-ONDAS MO-01-21-B 220V/60HZ ."/>
    <s v="MO 21L"/>
    <n v="229"/>
    <n v="229"/>
    <n v="0"/>
    <d v="2026-05-11T00:00:00"/>
    <x v="10"/>
    <x v="0"/>
    <m/>
    <n v="30369"/>
    <s v="JXB0662"/>
    <d v="2026-06-15T00:00:00"/>
  </r>
  <r>
    <x v="0"/>
    <d v="2026-02-12T00:00:00"/>
    <x v="0"/>
    <x v="0"/>
    <s v="030623-0006-01"/>
    <s v="RÓTULO DE IDENTIF BLACK 21L 450X250MM"/>
    <x v="1"/>
    <s v="ROTULO"/>
    <s v="5615-04"/>
    <s v="MICRO-ONDAS MO-01-21-B 220V/60HZ ."/>
    <s v="MO 21L"/>
    <n v="98"/>
    <n v="98"/>
    <n v="0"/>
    <d v="2026-03-10T00:00:00"/>
    <x v="9"/>
    <x v="0"/>
    <m/>
    <n v="29831"/>
    <s v="MNK6A35"/>
    <d v="2026-04-14T00:00:00"/>
  </r>
  <r>
    <x v="0"/>
    <d v="2026-02-12T00:00:00"/>
    <x v="0"/>
    <x v="0"/>
    <s v="040323-0001-01"/>
    <s v="CALÇO DE EPS INFERIOR 21L 480X385X150MM"/>
    <x v="1"/>
    <s v="CALÇO"/>
    <s v="5615-04"/>
    <s v="MICRO-ONDAS MO-01-21-B 220V/60HZ ."/>
    <s v="MO 21L"/>
    <n v="98"/>
    <n v="98"/>
    <n v="0"/>
    <d v="2026-05-11T00:00:00"/>
    <x v="10"/>
    <x v="0"/>
    <m/>
    <n v="30369"/>
    <s v="JXB0662"/>
    <d v="2026-06-15T00:00:00"/>
  </r>
  <r>
    <x v="0"/>
    <d v="2026-02-12T00:00:00"/>
    <x v="0"/>
    <x v="0"/>
    <s v="040323-0003-01"/>
    <s v="CALÇO DE EPS SUPERIOR 21L 480X385X150MM"/>
    <x v="1"/>
    <s v="CALÇO"/>
    <s v="5615-04"/>
    <s v="MICRO-ONDAS MO-01-21-B 220V/60HZ ."/>
    <s v="MO 21L"/>
    <n v="98"/>
    <n v="98"/>
    <n v="0"/>
    <d v="2026-05-11T00:00:00"/>
    <x v="10"/>
    <x v="0"/>
    <m/>
    <n v="30369"/>
    <s v="JXB0662"/>
    <d v="2026-06-15T00:00:00"/>
  </r>
  <r>
    <x v="0"/>
    <d v="2026-02-12T00:00:00"/>
    <x v="0"/>
    <x v="0"/>
    <s v="030623-0010-01"/>
    <s v="RÓTULO DE IDENTIF MIRROR 21L 450X250MM"/>
    <x v="1"/>
    <s v="ROTULO"/>
    <s v="5619-01"/>
    <s v="MICRO-ONDAS MO-01-21-E 127V/60HZ"/>
    <s v="MO 21L"/>
    <n v="24"/>
    <n v="24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9-01"/>
    <s v="MICRO-ONDAS MO-01-21-E 127V/60HZ"/>
    <s v="MO 21L"/>
    <n v="24"/>
    <n v="24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9-01"/>
    <s v="MICRO-ONDAS MO-01-21-E 127V/60HZ"/>
    <s v="MO 21L"/>
    <n v="24"/>
    <n v="24"/>
    <n v="0"/>
    <d v="2026-05-11T00:00:00"/>
    <x v="10"/>
    <x v="0"/>
    <m/>
    <n v="30369"/>
    <s v="JXB0662"/>
    <d v="2026-06-15T00:00:00"/>
  </r>
  <r>
    <x v="0"/>
    <d v="2026-02-12T00:00:00"/>
    <x v="0"/>
    <x v="0"/>
    <s v="030623-0010-01"/>
    <s v="RÓTULO DE IDENTIF MIRROR 21L 450X250MM"/>
    <x v="1"/>
    <s v="ROTULO"/>
    <s v="5619-02"/>
    <s v="MICRO-ONDAS MO-01-21-E 220V/60HZ"/>
    <s v="MO 21L"/>
    <n v="72"/>
    <n v="72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9-02"/>
    <s v="MICRO-ONDAS MO-01-21-E 220V/60HZ"/>
    <s v="MO 21L"/>
    <n v="72"/>
    <n v="72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9-02"/>
    <s v="MICRO-ONDAS MO-01-21-E 220V/60HZ"/>
    <s v="MO 21L"/>
    <n v="72"/>
    <n v="72"/>
    <n v="0"/>
    <d v="2026-05-11T00:00:00"/>
    <x v="10"/>
    <x v="0"/>
    <m/>
    <n v="30369"/>
    <s v="JXB0662"/>
    <d v="2026-06-15T00:00:00"/>
  </r>
  <r>
    <x v="0"/>
    <d v="2026-02-12T00:00:00"/>
    <x v="0"/>
    <x v="0"/>
    <s v="030623-0002-02"/>
    <s v="RÓTULO DE IDENTIF WHITE 21L "/>
    <x v="1"/>
    <s v="ROTULO"/>
    <s v="5616-01"/>
    <s v="MICRO-ONDAS MO-01-21-W 127V/60HZ ."/>
    <s v="MO 21L"/>
    <n v="87"/>
    <n v="87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6-01"/>
    <s v="MICRO-ONDAS MO-01-21-W 127V/60HZ ."/>
    <s v="MO 21L"/>
    <n v="87"/>
    <n v="87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6-01"/>
    <s v="MICRO-ONDAS MO-01-21-W 127V/60HZ ."/>
    <s v="MO 21L"/>
    <n v="87"/>
    <n v="87"/>
    <n v="0"/>
    <d v="2026-05-11T00:00:00"/>
    <x v="10"/>
    <x v="0"/>
    <m/>
    <n v="30369"/>
    <s v="JXB0662"/>
    <d v="2026-06-15T00:00:00"/>
  </r>
  <r>
    <x v="0"/>
    <d v="2026-02-12T00:00:00"/>
    <x v="0"/>
    <x v="0"/>
    <s v="030623-0007-01"/>
    <s v="RÓTULO DE IDENTIF WHITE 21L 450X250MM"/>
    <x v="1"/>
    <s v="ROTULO"/>
    <s v="5616-03"/>
    <s v="MICRO-ONDAS MO-01-21-W 127V/60HZ ."/>
    <s v="MO 21L"/>
    <n v="232"/>
    <n v="232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6-03"/>
    <s v="MICRO-ONDAS MO-01-21-W 127V/60HZ ."/>
    <s v="MO 21L"/>
    <n v="232"/>
    <n v="232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6-03"/>
    <s v="MICRO-ONDAS MO-01-21-W 127V/60HZ ."/>
    <s v="MO 21L"/>
    <n v="232"/>
    <n v="232"/>
    <n v="0"/>
    <d v="2026-05-11T00:00:00"/>
    <x v="10"/>
    <x v="0"/>
    <m/>
    <n v="30369"/>
    <s v="JXB0662"/>
    <d v="2026-06-15T00:00:00"/>
  </r>
  <r>
    <x v="0"/>
    <d v="2026-02-12T00:00:00"/>
    <x v="0"/>
    <x v="0"/>
    <s v="030623-0007-01"/>
    <s v="RÓTULO DE IDENTIF WHITE 21L 450X250MM"/>
    <x v="1"/>
    <s v="ROTULO"/>
    <s v="5616-04"/>
    <s v="MICRO-ONDAS MO-01-21-W 220V/60HZ"/>
    <s v="MO 21L"/>
    <n v="22"/>
    <n v="22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6-04"/>
    <s v="MICRO-ONDAS MO-01-21-W 220V/60HZ"/>
    <s v="MO 21L"/>
    <n v="22"/>
    <n v="22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6-04"/>
    <s v="MICRO-ONDAS MO-01-21-W 220V/60HZ"/>
    <s v="MO 21L"/>
    <n v="22"/>
    <n v="22"/>
    <n v="0"/>
    <d v="2026-05-11T00:00:00"/>
    <x v="10"/>
    <x v="0"/>
    <m/>
    <n v="30369"/>
    <s v="JXB0662"/>
    <d v="2026-06-15T00:00:00"/>
  </r>
  <r>
    <x v="0"/>
    <d v="2026-02-12T00:00:00"/>
    <x v="0"/>
    <x v="0"/>
    <s v="030623-0002-02"/>
    <s v="RÓTULO DE IDENTIF WHITE 21L "/>
    <x v="1"/>
    <s v="ROTULO"/>
    <s v="5616-02"/>
    <s v="MICRO-ONDAS MO-01-21-W 220V/60HZ"/>
    <s v="MO 21L"/>
    <n v="513"/>
    <n v="513"/>
    <n v="0"/>
    <d v="2026-03-10T00:00:00"/>
    <x v="9"/>
    <x v="0"/>
    <m/>
    <n v="29831"/>
    <s v="MNK6A35"/>
    <d v="2026-04-14T00:00:00"/>
  </r>
  <r>
    <x v="0"/>
    <d v="2026-02-12T00:00:00"/>
    <x v="0"/>
    <x v="0"/>
    <s v="040323-0003-01"/>
    <s v="CALÇO DE EPS SUPERIOR 21L 480X385X150MM"/>
    <x v="1"/>
    <s v="CALÇO"/>
    <s v="5616-02"/>
    <s v="MICRO-ONDAS MO-01-21-W 220V/60HZ"/>
    <s v="MO 21L"/>
    <n v="139"/>
    <n v="139"/>
    <n v="0"/>
    <d v="2026-05-11T00:00:00"/>
    <x v="10"/>
    <x v="0"/>
    <m/>
    <n v="30369"/>
    <s v="JXB0662"/>
    <d v="2026-06-15T00:00:00"/>
  </r>
  <r>
    <x v="0"/>
    <d v="2026-02-12T00:00:00"/>
    <x v="0"/>
    <x v="0"/>
    <s v="040323-0003-01"/>
    <s v="CALÇO DE EPS SUPERIOR 21L 480X385X150MM"/>
    <x v="1"/>
    <s v="CALÇO"/>
    <s v="5616-02"/>
    <s v="MICRO-ONDAS MO-01-21-W 220V/60HZ"/>
    <s v="MO 21L"/>
    <n v="374"/>
    <n v="374"/>
    <n v="0"/>
    <d v="2026-05-11T00:00:00"/>
    <x v="5"/>
    <x v="0"/>
    <m/>
    <n v="30371"/>
    <s v="JXB1402"/>
    <d v="2026-06-19T00:00:00"/>
  </r>
  <r>
    <x v="0"/>
    <d v="2026-02-12T00:00:00"/>
    <x v="0"/>
    <x v="0"/>
    <s v="040323-0001-01"/>
    <s v="CALÇO DE EPS INFERIOR 21L 480X385X150MM"/>
    <x v="1"/>
    <s v="CALÇO"/>
    <s v="5616-02"/>
    <s v="MICRO-ONDAS MO-01-21-W 220V/60HZ"/>
    <s v="MO 21L"/>
    <n v="139"/>
    <n v="139"/>
    <n v="0"/>
    <d v="2026-05-11T00:00:00"/>
    <x v="10"/>
    <x v="0"/>
    <m/>
    <n v="30369"/>
    <s v="JXB0662"/>
    <d v="2026-06-15T00:00:00"/>
  </r>
  <r>
    <x v="0"/>
    <d v="2026-02-12T00:00:00"/>
    <x v="0"/>
    <x v="0"/>
    <s v="040323-0001-01"/>
    <s v="CALÇO DE EPS INFERIOR 21L 480X385X150MM"/>
    <x v="1"/>
    <s v="CALÇO"/>
    <s v="5616-02"/>
    <s v="MICRO-ONDAS MO-01-21-W 220V/60HZ"/>
    <s v="MO 21L"/>
    <n v="374"/>
    <n v="374"/>
    <n v="0"/>
    <d v="2026-05-11T00:00:00"/>
    <x v="5"/>
    <x v="0"/>
    <m/>
    <n v="30371"/>
    <s v="JXB1402"/>
    <d v="2026-06-19T00:00:00"/>
  </r>
  <r>
    <x v="0"/>
    <d v="2026-02-12T00:00:00"/>
    <x v="0"/>
    <x v="0"/>
    <s v="030623-0005-01"/>
    <s v="RÓTULO DE IDENTIF BLACK 34L 530X285MM"/>
    <x v="1"/>
    <s v="ROTULO"/>
    <s v="5774-01"/>
    <s v="MICRO-ONDAS MO-02-34-B 127V/60HZ ."/>
    <s v="MO 34L"/>
    <n v="34"/>
    <n v="34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774-01"/>
    <s v="MICRO-ONDAS MO-02-34-B 127V/60HZ ."/>
    <s v="MO 34L"/>
    <n v="34"/>
    <n v="34"/>
    <n v="0"/>
    <d v="2026-08-06T00:00:00"/>
    <x v="11"/>
    <x v="0"/>
    <s v="NF 01"/>
    <n v="31170"/>
    <s v="JXU2118"/>
    <d v="2026-08-26T00:00:00"/>
  </r>
  <r>
    <x v="0"/>
    <d v="2026-02-12T00:00:00"/>
    <x v="0"/>
    <x v="0"/>
    <s v="040323-0005-01"/>
    <s v="CALÇO DE EPS SUPERIOR 34L "/>
    <x v="1"/>
    <s v="CALÇO"/>
    <s v="5774-01"/>
    <s v="MICRO-ONDAS MO-02-34-B 127V/60HZ ."/>
    <s v="MO 34L"/>
    <n v="34"/>
    <n v="34"/>
    <n v="0"/>
    <d v="2026-08-06T00:00:00"/>
    <x v="11"/>
    <x v="0"/>
    <s v="NF 01"/>
    <n v="31170"/>
    <s v="JXU2118"/>
    <d v="2026-08-26T00:00:00"/>
  </r>
  <r>
    <x v="0"/>
    <d v="2026-02-12T00:00:00"/>
    <x v="0"/>
    <x v="0"/>
    <s v="030623-0005-01"/>
    <s v="RÓTULO DE IDENTIF BLACK 34L 530X285MM"/>
    <x v="1"/>
    <s v="ROTULO"/>
    <s v="5774-02"/>
    <s v="MICRO-ONDAS MO-02-34-B 220V/60HZ ."/>
    <s v="MO 34L"/>
    <n v="148"/>
    <n v="148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774-02"/>
    <s v="MICRO-ONDAS MO-02-34-B 220V/60HZ ."/>
    <s v="MO 34L"/>
    <n v="148"/>
    <n v="148"/>
    <n v="0"/>
    <d v="2026-08-06T00:00:00"/>
    <x v="11"/>
    <x v="0"/>
    <s v="NF 01"/>
    <n v="31170"/>
    <s v="JXU2118"/>
    <d v="2026-08-26T00:00:00"/>
  </r>
  <r>
    <x v="0"/>
    <d v="2026-02-12T00:00:00"/>
    <x v="0"/>
    <x v="0"/>
    <s v="040323-0005-01"/>
    <s v="CALÇO DE EPS SUPERIOR 34L "/>
    <x v="1"/>
    <s v="CALÇO"/>
    <s v="5774-02"/>
    <s v="MICRO-ONDAS MO-02-34-B 220V/60HZ ."/>
    <s v="MO 34L"/>
    <n v="148"/>
    <n v="148"/>
    <n v="0"/>
    <d v="2026-08-06T00:00:00"/>
    <x v="11"/>
    <x v="0"/>
    <s v="NF 01"/>
    <n v="31170"/>
    <s v="JXU2118"/>
    <d v="2026-08-26T00:00:00"/>
  </r>
  <r>
    <x v="0"/>
    <d v="2026-02-12T00:00:00"/>
    <x v="0"/>
    <x v="0"/>
    <s v="030623-0003-02"/>
    <s v="RÓTULO DE IDENTIF MIRROR 34L 530X285MM"/>
    <x v="1"/>
    <s v="ROTULO"/>
    <s v="5618-01"/>
    <s v="MICRO-ONDAS MO-02-34-E 127V/60HZ ."/>
    <s v="MO 34L"/>
    <n v="142"/>
    <m/>
    <n v="-142"/>
    <m/>
    <x v="3"/>
    <x v="2"/>
    <s v="Sem saldo, não pode usar o modelo atual; Fazer pedido por e-mail"/>
    <m/>
    <m/>
    <m/>
  </r>
  <r>
    <x v="0"/>
    <d v="2026-02-12T00:00:00"/>
    <x v="0"/>
    <x v="0"/>
    <s v="040323-0006-01"/>
    <s v="CALÇO DE EPS INFERIOR 34L "/>
    <x v="1"/>
    <s v="CALÇO"/>
    <s v="5618-01"/>
    <s v="MICRO-ONDAS MO-02-34-E 127V/60HZ ."/>
    <s v="MO 34L"/>
    <n v="142"/>
    <n v="142"/>
    <n v="0"/>
    <d v="2026-08-06T00:00:00"/>
    <x v="11"/>
    <x v="0"/>
    <s v="NF 01"/>
    <n v="31170"/>
    <s v="JXU2118"/>
    <d v="2026-08-26T00:00:00"/>
  </r>
  <r>
    <x v="0"/>
    <d v="2026-02-12T00:00:00"/>
    <x v="0"/>
    <x v="0"/>
    <s v="040323-0005-01"/>
    <s v="CALÇO DE EPS SUPERIOR 34L "/>
    <x v="1"/>
    <s v="CALÇO"/>
    <s v="5618-01"/>
    <s v="MICRO-ONDAS MO-02-34-E 127V/60HZ ."/>
    <s v="MO 34L"/>
    <n v="142"/>
    <n v="142"/>
    <n v="0"/>
    <d v="2026-08-06T00:00:00"/>
    <x v="11"/>
    <x v="0"/>
    <s v="NF 01"/>
    <n v="31170"/>
    <s v="JXU2118"/>
    <d v="2026-08-26T00:00:00"/>
  </r>
  <r>
    <x v="0"/>
    <d v="2026-02-12T00:00:00"/>
    <x v="0"/>
    <x v="0"/>
    <s v="030623-0008-01"/>
    <s v="RÓTULO DE IDENTIF BLACK 34L 530X285MM"/>
    <x v="1"/>
    <s v="ROTULO"/>
    <s v="5618-03"/>
    <s v="MICRO-ONDAS MO-02-34-E 127V/60HZ ."/>
    <s v="MO 34L"/>
    <n v="296"/>
    <n v="296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618-03"/>
    <s v="MICRO-ONDAS MO-02-34-E 127V/60HZ ."/>
    <s v="MO 34L"/>
    <n v="296"/>
    <n v="296"/>
    <n v="0"/>
    <d v="2026-08-06T00:00:00"/>
    <x v="11"/>
    <x v="0"/>
    <s v="NF 01"/>
    <n v="31170"/>
    <s v="JXU2118"/>
    <d v="2026-08-26T00:00:00"/>
  </r>
  <r>
    <x v="0"/>
    <d v="2026-02-12T00:00:00"/>
    <x v="0"/>
    <x v="0"/>
    <s v="040323-0005-01"/>
    <s v="CALÇO DE EPS SUPERIOR 34L "/>
    <x v="1"/>
    <s v="CALÇO"/>
    <s v="5618-03"/>
    <s v="MICRO-ONDAS MO-02-34-E 127V/60HZ ."/>
    <s v="MO 34L"/>
    <n v="296"/>
    <n v="296"/>
    <n v="0"/>
    <d v="2026-08-06T00:00:00"/>
    <x v="11"/>
    <x v="0"/>
    <s v="NF 01"/>
    <n v="31170"/>
    <s v="JXU2118"/>
    <d v="2026-08-26T00:00:00"/>
  </r>
  <r>
    <x v="0"/>
    <d v="2026-02-12T00:00:00"/>
    <x v="0"/>
    <x v="0"/>
    <s v="030623-0003-02"/>
    <s v="RÓTULO DE IDENTIF MIRROR 34L 530X285MM"/>
    <x v="1"/>
    <s v="ROTULO"/>
    <s v="5618-02"/>
    <s v="MICRO-ONDAS MO-02-34-E 220V/60HZ ."/>
    <s v="MO 34L"/>
    <n v="34"/>
    <m/>
    <n v="-34"/>
    <m/>
    <x v="3"/>
    <x v="2"/>
    <s v="Sem saldo, não pode usar o modelo atual; Fazer pedido por e-mail"/>
    <m/>
    <m/>
    <m/>
  </r>
  <r>
    <x v="0"/>
    <d v="2026-02-12T00:00:00"/>
    <x v="0"/>
    <x v="0"/>
    <s v="040323-0006-01"/>
    <s v="CALÇO DE EPS INFERIOR 34L "/>
    <x v="1"/>
    <s v="CALÇO"/>
    <s v="5618-02"/>
    <s v="MICRO-ONDAS MO-02-34-E 220V/60HZ ."/>
    <s v="MO 34L"/>
    <n v="34"/>
    <n v="34"/>
    <n v="0"/>
    <d v="2026-08-06T00:00:00"/>
    <x v="11"/>
    <x v="0"/>
    <s v="NF 01"/>
    <n v="31170"/>
    <s v="JXU2118"/>
    <d v="2026-08-26T00:00:00"/>
  </r>
  <r>
    <x v="0"/>
    <d v="2026-02-12T00:00:00"/>
    <x v="0"/>
    <x v="0"/>
    <s v="040323-0005-01"/>
    <s v="CALÇO DE EPS SUPERIOR 34L "/>
    <x v="1"/>
    <s v="CALÇO"/>
    <s v="5618-02"/>
    <s v="MICRO-ONDAS MO-02-34-E 220V/60HZ ."/>
    <s v="MO 34L"/>
    <n v="34"/>
    <n v="34"/>
    <n v="0"/>
    <d v="2026-08-06T00:00:00"/>
    <x v="11"/>
    <x v="0"/>
    <s v="NF 01"/>
    <n v="31170"/>
    <s v="JXU2118"/>
    <d v="2026-08-26T00:00:00"/>
  </r>
  <r>
    <x v="0"/>
    <d v="2026-02-12T00:00:00"/>
    <x v="0"/>
    <x v="0"/>
    <s v="030623-0008-01"/>
    <s v="RÓTULO DE IDENTIF BLACK 34L 530X285MM"/>
    <x v="1"/>
    <s v="ROTULO"/>
    <s v="5618-04"/>
    <s v="MICRO-ONDAS MO-02-34-E 220V/60HZ ."/>
    <s v="MO 34L"/>
    <n v="544"/>
    <n v="544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618-04"/>
    <s v="MICRO-ONDAS MO-02-34-E 220V/60HZ ."/>
    <s v="MO 34L"/>
    <n v="544"/>
    <n v="544"/>
    <n v="0"/>
    <d v="2026-08-07T00:00:00"/>
    <x v="11"/>
    <x v="0"/>
    <s v="NF 02"/>
    <n v="31171"/>
    <s v="JMF3A55"/>
    <d v="2026-08-26T00:00:00"/>
  </r>
  <r>
    <x v="0"/>
    <d v="2026-02-12T00:00:00"/>
    <x v="0"/>
    <x v="0"/>
    <s v="040323-0005-01"/>
    <s v="CALÇO DE EPS SUPERIOR 34L "/>
    <x v="1"/>
    <s v="CALÇO"/>
    <s v="5618-04"/>
    <s v="MICRO-ONDAS MO-02-34-E 220V/60HZ ."/>
    <s v="MO 34L"/>
    <n v="544"/>
    <n v="544"/>
    <n v="0"/>
    <d v="2026-08-07T00:00:00"/>
    <x v="11"/>
    <x v="0"/>
    <s v="NF 02"/>
    <n v="31171"/>
    <s v="JMF3A55"/>
    <d v="2026-08-26T00:00:00"/>
  </r>
  <r>
    <x v="0"/>
    <d v="2026-02-12T00:00:00"/>
    <x v="0"/>
    <x v="0"/>
    <s v="030623-0004-01"/>
    <s v="RÓTULO DE IDENTIF WHITE 34L 530X285MM"/>
    <x v="1"/>
    <s v="ROTULO"/>
    <s v="5617-01"/>
    <s v="MICRO-ONDAS MO-02-34-W 127V/60HZ ."/>
    <s v="MO 34L"/>
    <n v="44"/>
    <n v="44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617-01"/>
    <s v="MICRO-ONDAS MO-02-34-W 127V/60HZ ."/>
    <s v="MO 34L"/>
    <n v="14"/>
    <n v="14"/>
    <n v="0"/>
    <d v="2026-08-07T00:00:00"/>
    <x v="11"/>
    <x v="0"/>
    <s v="NF 02"/>
    <n v="31171"/>
    <s v="JMF3A55"/>
    <d v="2026-08-26T00:00:00"/>
  </r>
  <r>
    <x v="0"/>
    <d v="2026-02-12T00:00:00"/>
    <x v="0"/>
    <x v="0"/>
    <s v="040323-0005-01"/>
    <s v="CALÇO DE EPS SUPERIOR 34L "/>
    <x v="1"/>
    <s v="CALÇO"/>
    <s v="5617-01"/>
    <s v="MICRO-ONDAS MO-02-34-W 127V/60HZ ."/>
    <s v="MO 34L"/>
    <n v="14"/>
    <n v="14"/>
    <n v="0"/>
    <d v="2026-08-07T00:00:00"/>
    <x v="11"/>
    <x v="0"/>
    <s v="NF 02"/>
    <n v="31171"/>
    <s v="JMF3A55"/>
    <d v="2026-08-26T00:00:00"/>
  </r>
  <r>
    <x v="0"/>
    <d v="2026-02-12T00:00:00"/>
    <x v="0"/>
    <x v="0"/>
    <s v="030623-0009-01"/>
    <s v="RÓTULO DE IDENTIF WHITE 34L 530X285MM"/>
    <x v="1"/>
    <s v="ROTULO"/>
    <s v="5617-03"/>
    <s v="MICRO-ONDAS MO-02-34-W 127V/60HZ ."/>
    <s v="MO 34L"/>
    <n v="269"/>
    <n v="269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617-01"/>
    <s v="MICRO-ONDAS MO-02-34-W 127V/60HZ ."/>
    <s v="MO 34L"/>
    <n v="30"/>
    <n v="30"/>
    <n v="0"/>
    <d v="2026-08-07T00:00:00"/>
    <x v="11"/>
    <x v="0"/>
    <s v="NF 03"/>
    <n v="31172"/>
    <s v="JXI1785"/>
    <d v="2026-08-26T00:00:00"/>
  </r>
  <r>
    <x v="0"/>
    <d v="2026-02-12T00:00:00"/>
    <x v="0"/>
    <x v="0"/>
    <s v="040323-0005-01"/>
    <s v="CALÇO DE EPS SUPERIOR 34L "/>
    <x v="1"/>
    <s v="CALÇO"/>
    <s v="5617-01"/>
    <s v="MICRO-ONDAS MO-02-34-W 127V/60HZ ."/>
    <s v="MO 34L"/>
    <n v="30"/>
    <n v="30"/>
    <n v="0"/>
    <d v="2026-08-07T00:00:00"/>
    <x v="11"/>
    <x v="0"/>
    <s v="NF 03"/>
    <n v="31172"/>
    <s v="JXI1785"/>
    <d v="2026-08-26T00:00:00"/>
  </r>
  <r>
    <x v="0"/>
    <d v="2026-02-12T00:00:00"/>
    <x v="0"/>
    <x v="0"/>
    <s v="040323-0006-01"/>
    <s v="CALÇO DE EPS INFERIOR 34L "/>
    <x v="1"/>
    <s v="CALÇO"/>
    <s v="5617-03"/>
    <s v="MICRO-ONDAS MO-02-34-W 127V/60HZ ."/>
    <s v="MO 34L"/>
    <n v="269"/>
    <n v="269"/>
    <n v="0"/>
    <d v="2026-08-07T00:00:00"/>
    <x v="11"/>
    <x v="0"/>
    <s v="NF 03"/>
    <n v="31172"/>
    <s v="JXI1785"/>
    <d v="2026-08-26T00:00:00"/>
  </r>
  <r>
    <x v="0"/>
    <d v="2026-02-12T00:00:00"/>
    <x v="0"/>
    <x v="0"/>
    <s v="040323-0005-01"/>
    <s v="CALÇO DE EPS SUPERIOR 34L "/>
    <x v="1"/>
    <s v="CALÇO"/>
    <s v="5617-03"/>
    <s v="MICRO-ONDAS MO-02-34-W 127V/60HZ ."/>
    <s v="MO 34L"/>
    <n v="269"/>
    <n v="269"/>
    <n v="0"/>
    <d v="2026-08-07T00:00:00"/>
    <x v="11"/>
    <x v="0"/>
    <s v="NF 03"/>
    <n v="31172"/>
    <s v="JXI1785"/>
    <d v="2026-08-26T00:00:00"/>
  </r>
  <r>
    <x v="0"/>
    <d v="2026-02-12T00:00:00"/>
    <x v="0"/>
    <x v="0"/>
    <s v="030623-0004-01"/>
    <s v="RÓTULO DE IDENTIF WHITE 34L 530X285MM"/>
    <x v="1"/>
    <s v="ROTULO"/>
    <s v="5617-02"/>
    <s v="MICRO-ONDAS MO-02-34-W 220V/60HZ ."/>
    <s v="MO 34L"/>
    <n v="49"/>
    <n v="49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617-02"/>
    <s v="MICRO-ONDAS MO-02-34-W 220V/60HZ ."/>
    <s v="MO 34L"/>
    <n v="44"/>
    <n v="44"/>
    <n v="0"/>
    <d v="2026-08-07T00:00:00"/>
    <x v="11"/>
    <x v="0"/>
    <s v="NF 03"/>
    <n v="31172"/>
    <s v="JXI1785"/>
    <d v="2026-08-26T00:00:00"/>
  </r>
  <r>
    <x v="0"/>
    <d v="2026-02-12T00:00:00"/>
    <x v="0"/>
    <x v="0"/>
    <s v="040323-0005-01"/>
    <s v="CALÇO DE EPS SUPERIOR 34L "/>
    <x v="1"/>
    <s v="CALÇO"/>
    <s v="5617-02"/>
    <s v="MICRO-ONDAS MO-02-34-W 220V/60HZ ."/>
    <s v="MO 34L"/>
    <n v="44"/>
    <n v="44"/>
    <n v="0"/>
    <d v="2026-08-07T00:00:00"/>
    <x v="11"/>
    <x v="0"/>
    <s v="NF 03"/>
    <n v="31172"/>
    <s v="JXI1785"/>
    <d v="2026-08-26T00:00:00"/>
  </r>
  <r>
    <x v="0"/>
    <d v="2026-02-12T00:00:00"/>
    <x v="0"/>
    <x v="0"/>
    <s v="030623-0009-01"/>
    <s v="RÓTULO DE IDENTIF WHITE 34L 530X285MM"/>
    <x v="1"/>
    <s v="ROTULO"/>
    <s v="5617-04"/>
    <s v="MICRO-ONDAS MO-02-34-W 220V/60HZ ."/>
    <s v="MO 34L"/>
    <n v="234"/>
    <n v="234"/>
    <n v="0"/>
    <d v="2026-03-10T00:00:00"/>
    <x v="9"/>
    <x v="0"/>
    <m/>
    <n v="29831"/>
    <s v="MNK6A35"/>
    <d v="2026-04-14T00:00:00"/>
  </r>
  <r>
    <x v="0"/>
    <d v="2026-02-12T00:00:00"/>
    <x v="0"/>
    <x v="0"/>
    <s v="040323-0006-01"/>
    <s v="CALÇO DE EPS INFERIOR 34L "/>
    <x v="1"/>
    <s v="CALÇO"/>
    <s v="5617-04"/>
    <s v="MICRO-ONDAS MO-02-34-W 220V/60HZ ."/>
    <s v="MO 34L"/>
    <n v="234"/>
    <n v="234"/>
    <n v="0"/>
    <d v="2026-08-07T00:00:00"/>
    <x v="11"/>
    <x v="0"/>
    <s v="NF 03"/>
    <n v="31172"/>
    <s v="JXI1785"/>
    <d v="2026-08-26T00:00:00"/>
  </r>
  <r>
    <x v="0"/>
    <d v="2026-02-12T00:00:00"/>
    <x v="0"/>
    <x v="0"/>
    <s v="040323-0005-01"/>
    <s v="CALÇO DE EPS SUPERIOR 34L "/>
    <x v="1"/>
    <s v="CALÇO"/>
    <s v="5617-04"/>
    <s v="MICRO-ONDAS MO-02-34-W 220V/60HZ ."/>
    <s v="MO 34L"/>
    <n v="234"/>
    <n v="234"/>
    <n v="0"/>
    <d v="2026-08-07T00:00:00"/>
    <x v="11"/>
    <x v="0"/>
    <s v="NF 03"/>
    <n v="31172"/>
    <s v="JXI1785"/>
    <d v="2026-08-26T00:00:00"/>
  </r>
  <r>
    <x v="0"/>
    <d v="2026-02-12T00:00:00"/>
    <x v="0"/>
    <x v="0"/>
    <s v="1117-57"/>
    <s v="CAIXA DE EMBALAGEM INDIVIDUAL NTB-12G"/>
    <x v="0"/>
    <s v="CAIXA INDIVIDUAL"/>
    <s v="7754-01"/>
    <s v="TABLET NTB-12G BIVOLT ."/>
    <s v="TABLET"/>
    <n v="1"/>
    <m/>
    <n v="-1"/>
    <s v="TBC"/>
    <x v="2"/>
    <x v="1"/>
    <m/>
    <m/>
    <m/>
    <m/>
  </r>
  <r>
    <x v="0"/>
    <d v="2026-02-12T00:00:00"/>
    <x v="0"/>
    <x v="0"/>
    <s v="1116-59"/>
    <s v="CAIXA EMBALAGEM INDIVIDUAL TB-14"/>
    <x v="0"/>
    <s v="CAIXA INDIVIDUAL"/>
    <s v="8821-01"/>
    <s v="TABLET TB-14 BIVOLT"/>
    <s v="TABLET"/>
    <n v="2"/>
    <m/>
    <n v="-2"/>
    <s v="TBC"/>
    <x v="2"/>
    <x v="1"/>
    <m/>
    <m/>
    <m/>
    <m/>
  </r>
  <r>
    <x v="0"/>
    <d v="2026-02-12T00:00:00"/>
    <x v="0"/>
    <x v="0"/>
    <s v="1118-01"/>
    <s v="CAIXA EMBALAGEM INDIVIDUAL TB-18"/>
    <x v="0"/>
    <s v="CAIXA INDIVIDUAL"/>
    <s v="8814-01"/>
    <s v="TABLET TB-18 BIVOLT KIDS"/>
    <s v="TABLET"/>
    <n v="3"/>
    <m/>
    <n v="-3"/>
    <s v="TBC"/>
    <x v="2"/>
    <x v="1"/>
    <m/>
    <m/>
    <m/>
    <m/>
  </r>
  <r>
    <x v="0"/>
    <d v="2026-02-12T00:00:00"/>
    <x v="0"/>
    <x v="0"/>
    <s v="030625-0005-01"/>
    <s v="ROTULO DE IDENTIFICAÇAO T1W"/>
    <x v="1"/>
    <s v="ROTULO"/>
    <s v="5115-01"/>
    <s v="TORRE DE SOM AWS-T1W-01 BIVOLT BLUETOOTH"/>
    <s v="T1W"/>
    <n v="80"/>
    <n v="80"/>
    <n v="0"/>
    <d v="2026-03-19T00:00:00"/>
    <x v="6"/>
    <x v="0"/>
    <m/>
    <n v="29916"/>
    <s v="JXA5313"/>
    <d v="2026-05-04T00:00:00"/>
  </r>
  <r>
    <x v="0"/>
    <d v="2026-02-12T00:00:00"/>
    <x v="0"/>
    <x v="0"/>
    <s v="040125-0023-01"/>
    <s v="CX DE EMBALAGEM INDIVIDUAL T1W"/>
    <x v="0"/>
    <s v="CAIXA INDIVIDUAL"/>
    <s v="5115-01"/>
    <s v="TORRE DE SOM AWS-T1W-01 BIVOLT BLUETOOTH"/>
    <s v="T1W"/>
    <n v="40"/>
    <n v="40"/>
    <n v="0"/>
    <d v="2026-03-19T00:00:00"/>
    <x v="6"/>
    <x v="0"/>
    <m/>
    <n v="29916"/>
    <s v="JXA5313"/>
    <d v="2026-05-04T00:00:00"/>
  </r>
  <r>
    <x v="0"/>
    <d v="2026-02-12T00:00:00"/>
    <x v="0"/>
    <x v="0"/>
    <s v="030625-0005-01"/>
    <s v="ROTULO DE IDENTIFICAÇAO T1W"/>
    <x v="1"/>
    <s v="ROTULO"/>
    <s v="5116-01"/>
    <s v="TORRE DE SOM AWS-T1W-02 BIVOLT BLUETOOTH"/>
    <s v="T1W"/>
    <n v="144"/>
    <n v="144"/>
    <n v="0"/>
    <d v="2026-03-19T00:00:00"/>
    <x v="6"/>
    <x v="0"/>
    <m/>
    <n v="29915"/>
    <s v="JXA5313"/>
    <d v="2026-05-04T00:00:00"/>
  </r>
  <r>
    <x v="0"/>
    <d v="2026-02-12T00:00:00"/>
    <x v="0"/>
    <x v="0"/>
    <s v="040125-0023-01"/>
    <s v="CX DE EMBALAGEM INDIVIDUAL T1W"/>
    <x v="0"/>
    <s v="CAIXA INDIVIDUAL"/>
    <s v="5116-01"/>
    <s v="TORRE DE SOM AWS-T1W-02 BIVOLT BLUETOOTH"/>
    <s v="T1W"/>
    <n v="72"/>
    <n v="72"/>
    <n v="0"/>
    <d v="2026-03-19T00:00:00"/>
    <x v="6"/>
    <x v="0"/>
    <m/>
    <n v="29915"/>
    <s v="JXA5313"/>
    <d v="2026-05-04T00:00:00"/>
  </r>
  <r>
    <x v="0"/>
    <d v="2026-02-12T00:00:00"/>
    <x v="0"/>
    <x v="0"/>
    <s v="030625-0006-01"/>
    <s v="RÓTULO DE IDENTIF T2W"/>
    <x v="1"/>
    <s v="ROTULO"/>
    <s v="5015-01"/>
    <s v="TORRE DE SOM AWS-T2W-01 BIVOLT BLUETOOTH"/>
    <s v="T2W"/>
    <n v="106"/>
    <n v="106"/>
    <n v="0"/>
    <d v="2026-04-15T00:00:00"/>
    <x v="12"/>
    <x v="0"/>
    <m/>
    <n v="30006"/>
    <s v="JWN9768"/>
    <d v="2026-05-06T00:00:00"/>
  </r>
  <r>
    <x v="0"/>
    <d v="2026-02-12T00:00:00"/>
    <x v="0"/>
    <x v="0"/>
    <s v="030625-0006-01"/>
    <s v="RÓTULO DE IDENTIF T2W"/>
    <x v="1"/>
    <s v="ROTULO"/>
    <s v="5016-01"/>
    <s v="TORRE DE SOM AWS-T2W-02 BIVOLT BLUETOOTH"/>
    <s v="T2W"/>
    <n v="1948"/>
    <n v="1948"/>
    <n v="0"/>
    <d v="2026-04-15T00:00:00"/>
    <x v="12"/>
    <x v="0"/>
    <m/>
    <n v="30006"/>
    <s v="JWN9768"/>
    <d v="2026-05-06T00:00:00"/>
  </r>
  <r>
    <x v="0"/>
    <d v="2026-02-12T00:00:00"/>
    <x v="0"/>
    <x v="0"/>
    <s v="040125-0017-01"/>
    <s v="CX DE EMBALAGEM INDIVIDUAL T2W"/>
    <x v="0"/>
    <s v="CAIXA INDIVIDUAL"/>
    <s v="5015-01"/>
    <s v="TORRE DE SOM AWS-T2W-01 BIVOLT BLUETOOTH"/>
    <s v="T2W"/>
    <n v="53"/>
    <n v="53"/>
    <n v="0"/>
    <d v="2026-04-15T00:00:00"/>
    <x v="12"/>
    <x v="0"/>
    <m/>
    <n v="30006"/>
    <s v="JWN9768"/>
    <d v="2026-05-06T00:00:00"/>
  </r>
  <r>
    <x v="0"/>
    <d v="2026-02-12T00:00:00"/>
    <x v="0"/>
    <x v="0"/>
    <s v="040125-0024-01"/>
    <s v="CX DE EMBALAGEM INDIVIDUAL T2W"/>
    <x v="0"/>
    <s v="CAIXA INDIVIDUAL"/>
    <s v="5016-01"/>
    <s v="TORRE DE SOM AWS-T2W-02 BIVOLT BLUETOOTH"/>
    <s v="T2W"/>
    <n v="974"/>
    <n v="974"/>
    <n v="0"/>
    <d v="2026-04-15T00:00:00"/>
    <x v="12"/>
    <x v="0"/>
    <m/>
    <n v="30006"/>
    <s v="JWN9768"/>
    <d v="2026-05-06T00:00:00"/>
  </r>
  <r>
    <x v="0"/>
    <d v="2026-02-12T00:00:00"/>
    <x v="0"/>
    <x v="0"/>
    <s v="030625-0008-01"/>
    <s v="RÓTULO DE IDENTIF TM-1200"/>
    <x v="1"/>
    <s v="ROTULO"/>
    <s v="2401-01"/>
    <s v="TORRE DE SOM TM-1200 BIV"/>
    <s v="TM1200"/>
    <n v="26"/>
    <n v="26"/>
    <n v="0"/>
    <d v="2026-03-19T00:00:00"/>
    <x v="6"/>
    <x v="0"/>
    <m/>
    <n v="29917"/>
    <s v="JXA5313"/>
    <d v="2026-05-04T00:00:00"/>
  </r>
  <r>
    <x v="0"/>
    <d v="2026-02-12T00:00:00"/>
    <x v="0"/>
    <x v="0"/>
    <s v="040125-0027-01"/>
    <s v="CX DE EMBALAGEM INDIVIDUAL TM-1200"/>
    <x v="0"/>
    <s v="CAIXA INDIVIDUAL"/>
    <s v="2401-01"/>
    <s v="TORRE DE SOM TM-1200 BIV"/>
    <s v="TM1200"/>
    <n v="13"/>
    <n v="13"/>
    <n v="0"/>
    <d v="2026-03-19T00:00:00"/>
    <x v="6"/>
    <x v="0"/>
    <m/>
    <n v="29917"/>
    <s v="JXA5313"/>
    <d v="2026-05-04T00:00:00"/>
  </r>
  <r>
    <x v="0"/>
    <d v="2026-02-12T00:00:00"/>
    <x v="0"/>
    <x v="0"/>
    <s v="030625-0009-01"/>
    <s v="RÓTULO DE IDENTIF TM-2200"/>
    <x v="1"/>
    <s v="ROTULO"/>
    <s v="2501-01"/>
    <s v="TORRE DE SOM TM2200 BIV"/>
    <s v="TM2200"/>
    <n v="580"/>
    <n v="580"/>
    <n v="0"/>
    <d v="2026-03-19T00:00:00"/>
    <x v="6"/>
    <x v="0"/>
    <m/>
    <n v="29918"/>
    <s v="JXA5313"/>
    <d v="2026-05-04T00:00:00"/>
  </r>
  <r>
    <x v="0"/>
    <d v="2026-02-12T00:00:00"/>
    <x v="0"/>
    <x v="0"/>
    <s v="040125-0028-01"/>
    <s v="CX DE EMBALAGEM INDIVIDUAL TM-2200"/>
    <x v="0"/>
    <s v="CAIXA INDIVIDUAL"/>
    <s v="2501-01"/>
    <s v="TORRE DE SOM TM2200 BIV"/>
    <s v="TM2200"/>
    <n v="290"/>
    <n v="290"/>
    <n v="0"/>
    <d v="2026-03-19T00:00:00"/>
    <x v="6"/>
    <x v="0"/>
    <m/>
    <n v="29918"/>
    <s v="JXA5313"/>
    <d v="2026-05-04T00:00:00"/>
  </r>
  <r>
    <x v="0"/>
    <d v="2026-02-12T00:00:00"/>
    <x v="0"/>
    <x v="0"/>
    <s v="040122-0009-02"/>
    <s v="CX DE EMBALAGEM INDIVIDUAL ANDROID 32"/>
    <x v="0"/>
    <s v="CAIXA INDIVIDUAL"/>
    <s v="8832-02"/>
    <s v="TV 32 ANDROID BORD INF AWS-TV-32-BL-02-A"/>
    <s v="TV 32 ANDROID"/>
    <n v="1390"/>
    <n v="1390"/>
    <n v="0"/>
    <d v="2026-05-11T00:00:00"/>
    <x v="5"/>
    <x v="0"/>
    <m/>
    <n v="30385"/>
    <s v="JXB1402"/>
    <d v="2026-06-16T00:00:00"/>
  </r>
  <r>
    <x v="0"/>
    <d v="2026-02-12T00:00:00"/>
    <x v="0"/>
    <x v="0"/>
    <s v="040122-0015-01"/>
    <s v="CX DE EMBALAGEM INDIVIDUAL ANDROID 32"/>
    <x v="0"/>
    <s v="CAIXA INDIVIDUAL"/>
    <s v="8832-01"/>
    <s v="TV 32 ANDROID BORD INF AWS-TV-32-BL-02-A"/>
    <s v="TV 32 ANDROID"/>
    <n v="24"/>
    <n v="24"/>
    <n v="0"/>
    <d v="2026-03-19T00:00:00"/>
    <x v="6"/>
    <x v="0"/>
    <m/>
    <n v="29913"/>
    <s v="JXA5313"/>
    <d v="2026-05-04T00:00:00"/>
  </r>
  <r>
    <x v="0"/>
    <d v="2026-02-12T00:00:00"/>
    <x v="0"/>
    <x v="0"/>
    <s v="040122-0010-02"/>
    <s v="CX DE EMBALAGEM INDIVIDUAL ANDROID 43&quot;"/>
    <x v="0"/>
    <s v="CAIXA INDIVIDUAL"/>
    <s v="8843-02"/>
    <s v="TV 43 ANDROID BORD INF AWS-TV-43-BL-02-A"/>
    <s v="TV 43 ANDROID"/>
    <n v="119"/>
    <n v="119"/>
    <n v="0"/>
    <d v="2026-05-11T00:00:00"/>
    <x v="5"/>
    <x v="0"/>
    <m/>
    <n v="30385"/>
    <s v="JXB1402"/>
    <d v="2026-06-16T00:00:00"/>
  </r>
  <r>
    <x v="0"/>
    <d v="2026-02-12T00:00:00"/>
    <x v="0"/>
    <x v="0"/>
    <s v="040122-0016-01"/>
    <s v="CX DE EMBALAGEM INDIVIDUAL ANDROID 43&quot;"/>
    <x v="0"/>
    <s v="CAIXA INDIVIDUAL"/>
    <s v="8843-03"/>
    <s v="TV 43 ANDROID BORD INF AWS-TV-43-BL-02-A"/>
    <s v="TV 43 ANDROID"/>
    <n v="4144"/>
    <m/>
    <n v="-4144"/>
    <d v="2026-08-28T00:00:00"/>
    <x v="13"/>
    <x v="3"/>
    <s v="Entrega direto na expedição"/>
    <m/>
    <m/>
    <m/>
  </r>
  <r>
    <x v="0"/>
    <d v="2026-02-12T00:00:00"/>
    <x v="0"/>
    <x v="0"/>
    <s v="040122-0010-02"/>
    <s v="CX DE EMBALAGEM INDIVIDUAL ANDROID 43&quot;"/>
    <x v="0"/>
    <s v="CAIXA INDIVIDUAL"/>
    <s v="8843-01"/>
    <s v="TV 43 ANDROID BORD INF AWS-TV-43-BL-02-A"/>
    <s v="TV 43 ANDROID"/>
    <n v="17"/>
    <n v="17"/>
    <n v="0"/>
    <d v="2026-05-11T00:00:00"/>
    <x v="5"/>
    <x v="0"/>
    <m/>
    <n v="30385"/>
    <s v="JXB1402"/>
    <d v="2026-06-16T00:00:00"/>
  </r>
  <r>
    <x v="0"/>
    <d v="2026-02-12T00:00:00"/>
    <x v="0"/>
    <x v="0"/>
    <s v="040122-0017-01"/>
    <s v="CX DE EMBALAGEM INDIVIDUAL TV50&quot;"/>
    <x v="0"/>
    <s v="CAIXA INDIVIDUAL"/>
    <s v="5026-02"/>
    <s v="TV 50 ANDROID BORD INF AWS-TV-50-BL-02-A"/>
    <s v="TV 50 ANDROID"/>
    <n v="1230"/>
    <n v="1230"/>
    <n v="0"/>
    <d v="2026-03-19T00:00:00"/>
    <x v="0"/>
    <x v="0"/>
    <m/>
    <n v="29860"/>
    <s v="JXA2303"/>
    <d v="2026-04-16T00:00:00"/>
  </r>
  <r>
    <x v="0"/>
    <d v="2026-02-12T00:00:00"/>
    <x v="0"/>
    <x v="0"/>
    <s v="040122-0003-01"/>
    <s v="CX DE EMBALAGEM INDIVIDUAL TV50&quot;"/>
    <x v="0"/>
    <s v="CAIXA INDIVIDUAL"/>
    <s v="5003-01"/>
    <s v="TV 50 SMART AWS-TV-50-BL-01"/>
    <s v="TV 50 SMART"/>
    <n v="17"/>
    <m/>
    <n v="-17"/>
    <s v="TBC"/>
    <x v="2"/>
    <x v="1"/>
    <m/>
    <m/>
    <m/>
    <m/>
  </r>
  <r>
    <x v="0"/>
    <d v="2026-02-12T00:00:00"/>
    <x v="0"/>
    <x v="0"/>
    <s v="040122-0004-02"/>
    <s v="CX DE EMBALAGEM INDIVIDUAL TV55&quot; - TEMP"/>
    <x v="0"/>
    <s v="CAIXA INDIVIDUAL"/>
    <s v="5504-01"/>
    <s v="TV 55 ANDROID AWS-TV-55-BL-01"/>
    <s v="TV 55 ANDROID"/>
    <n v="19"/>
    <n v="19"/>
    <n v="0"/>
    <d v="2026-05-11T00:00:00"/>
    <x v="5"/>
    <x v="0"/>
    <m/>
    <n v="30385"/>
    <s v="JXB1402"/>
    <d v="2026-06-16T00:00:00"/>
  </r>
  <r>
    <x v="0"/>
    <d v="2026-02-12T00:00:00"/>
    <x v="0"/>
    <x v="0"/>
    <s v="040122-0018-01"/>
    <s v="CX DE EMBALAGEM INDIVIDUAL TV55&quot; - TEMP"/>
    <x v="0"/>
    <s v="CAIXA INDIVIDUAL"/>
    <s v="5504-01"/>
    <s v="TV 55 ANDROID AWS-TV-55-BL-01"/>
    <s v="TV 55 ANDROID"/>
    <n v="3"/>
    <m/>
    <n v="-3"/>
    <d v="2026-08-18T00:00:00"/>
    <x v="14"/>
    <x v="3"/>
    <s v="Fazer reserva "/>
    <m/>
    <m/>
    <m/>
  </r>
  <r>
    <x v="0"/>
    <d v="2026-02-12T00:00:00"/>
    <x v="0"/>
    <x v="0"/>
    <s v="040122-0018-01"/>
    <s v="CX DE EMBALAGEM INDIVIDUAL TV55&quot; - TEMP"/>
    <x v="0"/>
    <s v="CAIXA INDIVIDUAL"/>
    <s v="5504-02"/>
    <s v="TV 55 ANDROID AWS-TV-55-BL-01"/>
    <s v="TV 55 ANDROID"/>
    <n v="408"/>
    <n v="408"/>
    <n v="0"/>
    <d v="2026-03-19T00:00:00"/>
    <x v="0"/>
    <x v="0"/>
    <m/>
    <n v="29859"/>
    <s v="JXA2303"/>
    <d v="2026-04-16T00:00:00"/>
  </r>
  <r>
    <x v="0"/>
    <d v="2026-02-12T00:00:00"/>
    <x v="0"/>
    <x v="0"/>
    <s v="040122-0013-01"/>
    <s v="CX DE EMBALAGEM INDIVIDUAL GOOGLE 65"/>
    <x v="0"/>
    <s v="CAIXA INDIVIDUAL"/>
    <s v="5022-01"/>
    <s v="TV 65 GOOGLE INF AWS-TV-65-BL-01-G"/>
    <s v="TV 65"/>
    <n v="6"/>
    <n v="6"/>
    <n v="0"/>
    <d v="2026-05-11T00:00:00"/>
    <x v="4"/>
    <x v="0"/>
    <m/>
    <n v="30320"/>
    <s v="JXU2478"/>
    <d v="2026-06-11T00:00:00"/>
  </r>
  <r>
    <x v="0"/>
    <d v="2026-02-12T00:00:00"/>
    <x v="0"/>
    <x v="0"/>
    <s v="040122-0011-02"/>
    <s v="CX DE EMBALAGEM INDIVIDUAL TV50&quot;"/>
    <x v="0"/>
    <s v="CAIXA INDIVIDUAL"/>
    <s v="5026-01"/>
    <s v="TV 50 ANDROID BORD INF AWS-TV-50-BL-02-A"/>
    <s v="TV 50 ANDROID"/>
    <n v="1"/>
    <n v="1"/>
    <n v="0"/>
    <d v="2026-05-11T00:00:00"/>
    <x v="4"/>
    <x v="0"/>
    <m/>
    <n v="30320"/>
    <s v="JXU2478"/>
    <d v="2026-06-11T00:00:00"/>
  </r>
  <r>
    <x v="0"/>
    <d v="2026-02-12T00:00:00"/>
    <x v="0"/>
    <x v="0"/>
    <s v="040122-0014-01"/>
    <s v="CX DE EMBALAGEM INDIVIDUAL GOOGLE 75"/>
    <x v="0"/>
    <s v="CAIXA INDIVIDUAL"/>
    <s v="5122-01"/>
    <s v="TV 75 GOOGLE BORD INF AWS"/>
    <s v="TV 75"/>
    <n v="1"/>
    <m/>
    <n v="-1"/>
    <s v="TBC"/>
    <x v="2"/>
    <x v="1"/>
    <m/>
    <m/>
    <m/>
    <m/>
  </r>
  <r>
    <x v="0"/>
    <d v="2026-02-12T00:00:00"/>
    <x v="0"/>
    <x v="0"/>
    <s v="030625-0001-01"/>
    <s v="RÓTULO DE IDENTIF CM-700"/>
    <x v="1"/>
    <s v="ROTULO"/>
    <s v="9915-02"/>
    <s v="CAIXA AMPLIFICADA CM-700 BIVOLT ."/>
    <s v="CM 700"/>
    <n v="40"/>
    <m/>
    <n v="-40"/>
    <m/>
    <x v="3"/>
    <x v="2"/>
    <s v="Solicitar compra por e-mail"/>
    <m/>
    <m/>
    <m/>
  </r>
  <r>
    <x v="0"/>
    <d v="2026-02-12T00:00:00"/>
    <x v="0"/>
    <x v="0"/>
    <s v="040323-0005-01"/>
    <s v="CALÇO DE EPS SUPERIOR 34L "/>
    <x v="1"/>
    <s v="CALÇO"/>
    <s v="5618-03"/>
    <s v="MICRO-ONDAS MO-02-34-E 127V/60HZ ."/>
    <s v="MO 34L"/>
    <n v="315"/>
    <n v="315"/>
    <n v="0"/>
    <d v="2026-08-07T00:00:00"/>
    <x v="11"/>
    <x v="0"/>
    <s v="NF 03"/>
    <n v="31172"/>
    <s v="JXI1785"/>
    <d v="2026-08-26T00:00:00"/>
  </r>
  <r>
    <x v="1"/>
    <d v="2026-02-25T00:00:00"/>
    <x v="1"/>
    <x v="0"/>
    <s v="040125-0023-01"/>
    <s v="CX DE EMBALAGEM INDIVIDUAL T1W"/>
    <x v="0"/>
    <s v="CAIXA INDIVIDUAL"/>
    <s v="5116-01"/>
    <s v="TORRE DE SOM AWS-T1W-02 BIVOLT BLUETOOTH"/>
    <s v="T1W"/>
    <n v="173"/>
    <n v="173"/>
    <n v="0"/>
    <d v="2026-02-25T00:00:00"/>
    <x v="15"/>
    <x v="0"/>
    <m/>
    <n v="29521"/>
    <s v="LXK8F00"/>
    <d v="2026-03-30T00:00:00"/>
  </r>
  <r>
    <x v="1"/>
    <d v="2026-02-25T00:00:00"/>
    <x v="1"/>
    <x v="0"/>
    <s v="030625-0005-01"/>
    <s v="ROTULO DE IDENTIFICAÇAO T1W"/>
    <x v="1"/>
    <s v="ROTULO"/>
    <s v="5116-01"/>
    <s v="TORRE DE SOM AWS-T1W-02 BIVOLT BLUETOOTH"/>
    <s v="T1W"/>
    <n v="346"/>
    <n v="346"/>
    <n v="0"/>
    <d v="2026-02-25T00:00:00"/>
    <x v="15"/>
    <x v="0"/>
    <m/>
    <n v="29521"/>
    <s v="LXK8F00"/>
    <d v="2026-03-30T00:00:00"/>
  </r>
  <r>
    <x v="2"/>
    <d v="2026-03-07T00:00:00"/>
    <x v="0"/>
    <x v="0"/>
    <s v="040122-0016-01"/>
    <s v="CX DE EMBALAGEM INDIVIDUAL ANDROID 43&quot;"/>
    <x v="0"/>
    <s v="CAIXA INDIVIDUAL"/>
    <s v="8843-02"/>
    <s v="TV 43 ANDROID BORD INF AWS-TV-43-BL-02-A"/>
    <s v="TV 43 ANDROID"/>
    <n v="1"/>
    <n v="1"/>
    <n v="0"/>
    <d v="2026-03-19T00:00:00"/>
    <x v="6"/>
    <x v="0"/>
    <m/>
    <n v="29913"/>
    <s v="JXA5313"/>
    <d v="2026-05-04T00:00:00"/>
  </r>
  <r>
    <x v="2"/>
    <d v="2026-03-07T00:00:00"/>
    <x v="0"/>
    <x v="0"/>
    <s v="040117-0002-02"/>
    <s v="CX DE EMBALAGEM INDIVIDUAL AWS-BBS-01-B"/>
    <x v="0"/>
    <s v="CAIXA INDIVIDUAL"/>
    <s v="4899-01"/>
    <s v="BOOMBOX AWS-BBS-01-B BIVOLT"/>
    <s v="BBS PRETO"/>
    <n v="131"/>
    <n v="131"/>
    <n v="0"/>
    <d v="2026-03-19T00:00:00"/>
    <x v="16"/>
    <x v="0"/>
    <m/>
    <n v="29810"/>
    <s v="NVK1H36"/>
    <d v="2026-04-12T00:00:00"/>
  </r>
  <r>
    <x v="2"/>
    <d v="2026-03-07T00:00:00"/>
    <x v="0"/>
    <x v="0"/>
    <s v="040117-0004-01"/>
    <s v="CX DE EMBALAGEM INDIVIDUAL AWS-BBS-01-BG"/>
    <x v="0"/>
    <s v="CAIXA INDIVIDUAL"/>
    <s v="5782-01"/>
    <s v="BOOMBOX AWS-BBS-01-BG BIVOLT"/>
    <s v="BBS BG"/>
    <n v="57"/>
    <n v="57"/>
    <n v="0"/>
    <d v="2026-03-19T00:00:00"/>
    <x v="16"/>
    <x v="0"/>
    <m/>
    <n v="29810"/>
    <s v="NVK1H36"/>
    <d v="2026-04-12T00:00:00"/>
  </r>
  <r>
    <x v="2"/>
    <d v="2026-03-07T00:00:00"/>
    <x v="0"/>
    <x v="0"/>
    <s v="040117-0005-01"/>
    <s v="CX DE EMBALAGEM INDIVIDUAL AWS-BBS-01-LB"/>
    <x v="0"/>
    <s v="CAIXA INDIVIDUAL"/>
    <s v="9531-01"/>
    <s v="BOOMBOX C/ LUZES AWS-BBS-01-LBL BIVOLT"/>
    <s v="BBS LBL"/>
    <n v="31"/>
    <n v="31"/>
    <n v="0"/>
    <d v="2026-03-19T00:00:00"/>
    <x v="16"/>
    <x v="0"/>
    <m/>
    <n v="29810"/>
    <s v="NVK1H36"/>
    <d v="2026-04-12T00:00:00"/>
  </r>
  <r>
    <x v="2"/>
    <d v="2026-03-07T00:00:00"/>
    <x v="0"/>
    <x v="0"/>
    <s v="040125-0002-02"/>
    <s v="CX DE EMBALAGEM INDIVIDUAL CM-250"/>
    <x v="0"/>
    <s v="CAIXA INDIVIDUAL"/>
    <s v="2108-02"/>
    <s v="CAIXA AMPLIFICADA CM-250 BIVOLT ."/>
    <s v="CM 250"/>
    <n v="1"/>
    <n v="1"/>
    <n v="0"/>
    <d v="2026-05-11T00:00:00"/>
    <x v="5"/>
    <x v="0"/>
    <m/>
    <n v="30384"/>
    <s v="JXB1402"/>
    <d v="2026-06-16T00:00:00"/>
  </r>
  <r>
    <x v="2"/>
    <d v="2026-03-07T00:00:00"/>
    <x v="0"/>
    <x v="0"/>
    <s v="040225-0003-01"/>
    <s v="CX DE EMBALAGEM COLETIVA CM-250"/>
    <x v="0"/>
    <s v="CAIXA COLETIVA"/>
    <s v="2108-02"/>
    <s v="CAIXA AMPLIFICADA CM-250 BIVOLT ."/>
    <s v="CM 250"/>
    <n v="1"/>
    <n v="1"/>
    <n v="0"/>
    <d v="2026-03-19T00:00:00"/>
    <x v="16"/>
    <x v="0"/>
    <m/>
    <n v="29808"/>
    <s v="NVK1H36"/>
    <d v="2026-04-12T00:00:00"/>
  </r>
  <r>
    <x v="2"/>
    <d v="2026-03-07T00:00:00"/>
    <x v="0"/>
    <x v="0"/>
    <s v="040125-0007-01"/>
    <s v="CX DE EMBALAGEM INDIVIDUAL CM-250"/>
    <x v="0"/>
    <s v="CAIXA INDIVIDUAL"/>
    <s v="2108-03"/>
    <s v="CAIXA AMPLIFICADA CM-250 BIVOLT ."/>
    <s v="CM 250"/>
    <n v="183"/>
    <n v="183"/>
    <n v="0"/>
    <d v="2026-03-19T00:00:00"/>
    <x v="16"/>
    <x v="0"/>
    <m/>
    <n v="29808"/>
    <s v="NVK1H36"/>
    <d v="2026-04-12T00:00:00"/>
  </r>
  <r>
    <x v="2"/>
    <d v="2026-03-07T00:00:00"/>
    <x v="0"/>
    <x v="0"/>
    <s v="040225-0003-01"/>
    <s v="CX DE EMBALAGEM COLETIVA CM-250"/>
    <x v="0"/>
    <s v="CAIXA COLETIVA"/>
    <s v="2108-03"/>
    <s v="CAIXA AMPLIFICADA CM-250 BIVOLT ."/>
    <s v="CM 250"/>
    <n v="46"/>
    <n v="46"/>
    <n v="0"/>
    <d v="2026-03-19T00:00:00"/>
    <x v="16"/>
    <x v="0"/>
    <m/>
    <n v="29808"/>
    <s v="NVK1H36"/>
    <d v="2026-04-12T00:00:00"/>
  </r>
  <r>
    <x v="2"/>
    <d v="2026-03-07T00:00:00"/>
    <x v="0"/>
    <x v="0"/>
    <s v="040125-0012-01"/>
    <s v="CX DE EMBALAGEM INDIVIDUAL CM-400"/>
    <x v="0"/>
    <s v="CAIXA INDIVIDUAL"/>
    <s v="0685-04"/>
    <s v="CAIXA AMPLIFICADA CM-400 BIVOLT ."/>
    <s v="CM400"/>
    <n v="264"/>
    <n v="264"/>
    <n v="0"/>
    <d v="2026-03-19T00:00:00"/>
    <x v="1"/>
    <x v="0"/>
    <m/>
    <n v="29832"/>
    <s v="MNK6A35"/>
    <d v="2026-04-15T00:00:00"/>
  </r>
  <r>
    <x v="2"/>
    <d v="2026-03-07T00:00:00"/>
    <x v="0"/>
    <x v="0"/>
    <s v="040125-0029-01"/>
    <s v="CX DE EMBALAGEM INDIVIDUAL CM-400-L"/>
    <x v="0"/>
    <s v="CAIXA INDIVIDUAL"/>
    <s v="8998-01"/>
    <s v="CAIXA AMPLIFICADA CM-400-L BIVOLT ."/>
    <s v="CM 400L"/>
    <n v="8"/>
    <n v="8"/>
    <n v="0"/>
    <d v="2026-03-19T00:00:00"/>
    <x v="0"/>
    <x v="0"/>
    <m/>
    <n v="29857"/>
    <s v="JXA2303"/>
    <d v="2026-04-16T00:00:00"/>
  </r>
  <r>
    <x v="2"/>
    <d v="2026-03-07T00:00:00"/>
    <x v="0"/>
    <x v="0"/>
    <s v="040225-0004-01"/>
    <s v="CX DE EMBALAGEM COLETIVA CM-400-L"/>
    <x v="0"/>
    <s v="CAIXA COLETIVA"/>
    <s v="8998-01"/>
    <s v="CAIXA AMPLIFICADA CM-400-L BIVOLT ."/>
    <s v="CM 400L"/>
    <n v="2"/>
    <n v="2"/>
    <n v="0"/>
    <d v="2026-03-19T00:00:00"/>
    <x v="0"/>
    <x v="0"/>
    <m/>
    <n v="29857"/>
    <s v="JXA2303"/>
    <d v="2026-04-16T00:00:00"/>
  </r>
  <r>
    <x v="2"/>
    <d v="2026-03-07T00:00:00"/>
    <x v="0"/>
    <x v="0"/>
    <s v="040125-0029-01"/>
    <s v="CX DE EMBALAGEM INDIVIDUAL CM-400-L"/>
    <x v="0"/>
    <s v="CAIXA INDIVIDUAL"/>
    <s v="5787-01"/>
    <s v="CAIXA AMPLIFICADA CM-400-PL BIVOLT"/>
    <s v="CM 400 PL"/>
    <n v="26"/>
    <n v="26"/>
    <n v="0"/>
    <d v="2026-03-19T00:00:00"/>
    <x v="6"/>
    <x v="0"/>
    <m/>
    <n v="29913"/>
    <s v="JXA5313"/>
    <d v="2026-05-04T00:00:00"/>
  </r>
  <r>
    <x v="2"/>
    <d v="2026-03-07T00:00:00"/>
    <x v="0"/>
    <x v="0"/>
    <s v="2017-18"/>
    <s v="EMBALAGEM INDIVIDUAL CM-500 ONDA B"/>
    <x v="0"/>
    <s v="CAIXA INDIVIDUAL"/>
    <s v="1705-01"/>
    <s v="CAIXA AMPLIFICADA CM-500 BIVOLT."/>
    <s v="CM 500"/>
    <n v="27"/>
    <m/>
    <n v="-27"/>
    <s v="TBC"/>
    <x v="2"/>
    <x v="1"/>
    <m/>
    <m/>
    <m/>
    <m/>
  </r>
  <r>
    <x v="2"/>
    <d v="2026-03-07T00:00:00"/>
    <x v="0"/>
    <x v="0"/>
    <s v="040125-0014-01"/>
    <s v="CX DE EMBALAGEM INDIVIDUAL CM-550"/>
    <x v="0"/>
    <s v="CAIXA INDIVIDUAL"/>
    <s v="2555-05"/>
    <s v="CAIXA AMPLIFICADA CM-550 BIVOLT ."/>
    <s v="CM 550"/>
    <n v="1405"/>
    <n v="1405"/>
    <n v="0"/>
    <d v="2026-04-15T00:00:00"/>
    <x v="8"/>
    <x v="0"/>
    <m/>
    <n v="30030"/>
    <s v="DJF1135"/>
    <d v="2026-05-11T00:00:00"/>
  </r>
  <r>
    <x v="2"/>
    <d v="2026-03-07T00:00:00"/>
    <x v="0"/>
    <x v="0"/>
    <s v="040125-0004-01"/>
    <s v="CX DE EMBALAGEM INDIVIDUAL CM-550"/>
    <x v="0"/>
    <s v="CAIXA INDIVIDUAL"/>
    <s v="2555-05"/>
    <s v="CAIXA AMPLIFICADA CM-550 BIVOLT ."/>
    <s v="CM 550"/>
    <n v="176"/>
    <n v="176"/>
    <n v="0"/>
    <d v="2026-06-25T00:00:00"/>
    <x v="7"/>
    <x v="0"/>
    <m/>
    <n v="30873"/>
    <s v="JXA4382"/>
    <d v="2026-07-25T00:00:00"/>
  </r>
  <r>
    <x v="2"/>
    <d v="2026-03-07T00:00:00"/>
    <x v="0"/>
    <x v="0"/>
    <s v="040125-0030-01"/>
    <s v="CX DE EMBALAGEM INDIVIDUAL CM-550-L"/>
    <x v="0"/>
    <s v="CAIXA INDIVIDUAL"/>
    <s v="8999-01"/>
    <s v="CAIXA AMPLIFICADA CM-550-L BIVOLT ."/>
    <s v="CM 550L"/>
    <n v="83"/>
    <n v="83"/>
    <n v="0"/>
    <d v="2026-03-19T00:00:00"/>
    <x v="0"/>
    <x v="0"/>
    <m/>
    <n v="29857"/>
    <s v="JXA2303"/>
    <d v="2026-04-16T00:00:00"/>
  </r>
  <r>
    <x v="2"/>
    <d v="2026-03-07T00:00:00"/>
    <x v="0"/>
    <x v="0"/>
    <s v="030625-0001-01"/>
    <s v="RÓTULO DE IDENTIF CM-700"/>
    <x v="1"/>
    <s v="ROTULO"/>
    <s v="9915-03"/>
    <s v="CAIXA AMPLIFICADA CM-700 BIVOLT ."/>
    <s v="CM 700"/>
    <n v="60"/>
    <m/>
    <n v="-60"/>
    <m/>
    <x v="3"/>
    <x v="2"/>
    <s v="Solicitar compra por e-mail"/>
    <m/>
    <m/>
    <m/>
  </r>
  <r>
    <x v="2"/>
    <d v="2026-03-07T00:00:00"/>
    <x v="0"/>
    <x v="0"/>
    <s v="040125-0009-01"/>
    <s v="CX DE EMBALAGEM INDIVIDUAL CM-700"/>
    <x v="0"/>
    <s v="CAIXA INDIVIDUAL"/>
    <s v="9915-03"/>
    <s v="CAIXA AMPLIFICADA CM-700 BIVOLT ."/>
    <s v="CM 700"/>
    <n v="60"/>
    <m/>
    <n v="-60"/>
    <m/>
    <x v="3"/>
    <x v="2"/>
    <s v="Solicitar compra por e-mail"/>
    <m/>
    <m/>
    <m/>
  </r>
  <r>
    <x v="2"/>
    <d v="2026-03-07T00:00:00"/>
    <x v="0"/>
    <x v="0"/>
    <s v="040323-0003-01"/>
    <s v="CALÇO DE EPS SUPERIOR 21L 480X385X150MM"/>
    <x v="1"/>
    <s v="CALÇO"/>
    <s v="5615-03"/>
    <s v="MICRO-ONDAS MO-01-21-B 127V/60HZ"/>
    <s v="MO 21L"/>
    <n v="47"/>
    <n v="47"/>
    <n v="0"/>
    <d v="2026-04-14T00:00:00"/>
    <x v="5"/>
    <x v="0"/>
    <m/>
    <n v="30398"/>
    <s v="JXB1402"/>
    <d v="2026-06-19T00:00:00"/>
  </r>
  <r>
    <x v="2"/>
    <d v="2026-03-07T00:00:00"/>
    <x v="0"/>
    <x v="0"/>
    <s v="040323-0001-01"/>
    <s v="CALÇO DE EPS INFERIOR 21L 480X385X150MM"/>
    <x v="1"/>
    <s v="CALÇO"/>
    <s v="5615-03"/>
    <s v="MICRO-ONDAS MO-01-21-B 127V/60HZ"/>
    <s v="MO 21L"/>
    <n v="47"/>
    <n v="47"/>
    <n v="0"/>
    <d v="2026-04-14T00:00:00"/>
    <x v="5"/>
    <x v="0"/>
    <m/>
    <n v="30398"/>
    <s v="JXB1402"/>
    <d v="2026-06-19T00:00:00"/>
  </r>
  <r>
    <x v="2"/>
    <d v="2026-03-07T00:00:00"/>
    <x v="0"/>
    <x v="0"/>
    <s v="030623-0006-01"/>
    <s v="RÓTULO DE IDENTIF BLACK 21L 450X250MM"/>
    <x v="1"/>
    <s v="ROTULO"/>
    <s v="5615-03"/>
    <s v="MICRO-ONDAS MO-01-21-B 127V/60HZ"/>
    <s v="MO 21L"/>
    <n v="47"/>
    <n v="47"/>
    <n v="0"/>
    <d v="2026-03-19T00:00:00"/>
    <x v="0"/>
    <x v="0"/>
    <m/>
    <n v="29857"/>
    <s v="JXA2303"/>
    <d v="2026-04-16T00:00:00"/>
  </r>
  <r>
    <x v="2"/>
    <d v="2026-03-07T00:00:00"/>
    <x v="0"/>
    <x v="0"/>
    <s v="040323-0003-01"/>
    <s v="CALÇO DE EPS SUPERIOR 21L 480X385X150MM"/>
    <x v="1"/>
    <s v="CALÇO"/>
    <s v="5615-04"/>
    <s v="MICRO-ONDAS MO-01-21-B 220V/60HZ ."/>
    <s v="MO 21L"/>
    <n v="148"/>
    <n v="148"/>
    <n v="0"/>
    <d v="2026-04-14T00:00:00"/>
    <x v="5"/>
    <x v="0"/>
    <m/>
    <n v="30398"/>
    <s v="JXB1402"/>
    <d v="2026-06-19T00:00:00"/>
  </r>
  <r>
    <x v="2"/>
    <d v="2026-03-07T00:00:00"/>
    <x v="0"/>
    <x v="0"/>
    <s v="040323-0001-01"/>
    <s v="CALÇO DE EPS INFERIOR 21L 480X385X150MM"/>
    <x v="1"/>
    <s v="CALÇO"/>
    <s v="5615-04"/>
    <s v="MICRO-ONDAS MO-01-21-B 220V/60HZ ."/>
    <s v="MO 21L"/>
    <n v="148"/>
    <n v="148"/>
    <n v="0"/>
    <d v="2026-04-14T00:00:00"/>
    <x v="5"/>
    <x v="0"/>
    <m/>
    <n v="30398"/>
    <s v="JXB1402"/>
    <d v="2026-06-19T00:00:00"/>
  </r>
  <r>
    <x v="2"/>
    <d v="2026-03-07T00:00:00"/>
    <x v="0"/>
    <x v="0"/>
    <s v="030623-0006-01"/>
    <s v="RÓTULO DE IDENTIF BLACK 21L 450X250MM"/>
    <x v="1"/>
    <s v="ROTULO"/>
    <s v="5615-04"/>
    <s v="MICRO-ONDAS MO-01-21-B 220V/60HZ ."/>
    <s v="MO 21L"/>
    <n v="148"/>
    <n v="148"/>
    <n v="0"/>
    <d v="2026-03-19T00:00:00"/>
    <x v="0"/>
    <x v="0"/>
    <m/>
    <n v="29857"/>
    <s v="JXA2303"/>
    <d v="2026-04-16T00:00:00"/>
  </r>
  <r>
    <x v="2"/>
    <d v="2026-03-07T00:00:00"/>
    <x v="0"/>
    <x v="0"/>
    <s v="040323-0003-01"/>
    <s v="CALÇO DE EPS SUPERIOR 21L 480X385X150MM"/>
    <x v="1"/>
    <s v="CALÇO"/>
    <s v="5619-01"/>
    <s v="MICRO-ONDAS MO-01-21-E 127V/60HZ"/>
    <s v="MO 21L"/>
    <n v="14"/>
    <n v="14"/>
    <n v="0"/>
    <d v="2026-04-14T00:00:00"/>
    <x v="5"/>
    <x v="0"/>
    <m/>
    <n v="30398"/>
    <s v="JXB1402"/>
    <d v="2026-06-19T00:00:00"/>
  </r>
  <r>
    <x v="2"/>
    <d v="2026-03-07T00:00:00"/>
    <x v="0"/>
    <x v="0"/>
    <s v="040323-0001-01"/>
    <s v="CALÇO DE EPS INFERIOR 21L 480X385X150MM"/>
    <x v="1"/>
    <s v="CALÇO"/>
    <s v="5619-01"/>
    <s v="MICRO-ONDAS MO-01-21-E 127V/60HZ"/>
    <s v="MO 21L"/>
    <n v="14"/>
    <n v="14"/>
    <n v="0"/>
    <d v="2026-04-14T00:00:00"/>
    <x v="5"/>
    <x v="0"/>
    <m/>
    <n v="30398"/>
    <s v="JXB1402"/>
    <d v="2026-06-19T00:00:00"/>
  </r>
  <r>
    <x v="2"/>
    <d v="2026-03-07T00:00:00"/>
    <x v="0"/>
    <x v="0"/>
    <s v="030623-0010-01"/>
    <s v="RÓTULO DE IDENTIF MIRROR 21L 450X250MM"/>
    <x v="1"/>
    <s v="ROTULO"/>
    <s v="5619-01"/>
    <s v="MICRO-ONDAS MO-01-21-E 127V/60HZ"/>
    <s v="MO 21L"/>
    <n v="14"/>
    <n v="14"/>
    <n v="0"/>
    <d v="2026-03-19T00:00:00"/>
    <x v="0"/>
    <x v="0"/>
    <m/>
    <n v="29867"/>
    <s v="JXA2303"/>
    <d v="2026-04-16T00:00:00"/>
  </r>
  <r>
    <x v="2"/>
    <d v="2026-03-07T00:00:00"/>
    <x v="0"/>
    <x v="0"/>
    <s v="040323-0003-01"/>
    <s v="CALÇO DE EPS SUPERIOR 21L 480X385X150MM"/>
    <x v="1"/>
    <s v="CALÇO"/>
    <s v="5619-02"/>
    <s v="MICRO-ONDAS MO-01-21-E 220V/60HZ"/>
    <s v="MO 21L"/>
    <n v="14"/>
    <n v="14"/>
    <n v="0"/>
    <d v="2026-04-14T00:00:00"/>
    <x v="5"/>
    <x v="0"/>
    <m/>
    <n v="30398"/>
    <s v="JXB1402"/>
    <d v="2026-06-19T00:00:00"/>
  </r>
  <r>
    <x v="2"/>
    <d v="2026-03-07T00:00:00"/>
    <x v="0"/>
    <x v="0"/>
    <s v="040323-0001-01"/>
    <s v="CALÇO DE EPS INFERIOR 21L 480X385X150MM"/>
    <x v="1"/>
    <s v="CALÇO"/>
    <s v="5619-02"/>
    <s v="MICRO-ONDAS MO-01-21-E 220V/60HZ"/>
    <s v="MO 21L"/>
    <n v="14"/>
    <n v="14"/>
    <n v="0"/>
    <d v="2026-04-14T00:00:00"/>
    <x v="5"/>
    <x v="0"/>
    <m/>
    <n v="30398"/>
    <s v="JXB1402"/>
    <d v="2026-06-19T00:00:00"/>
  </r>
  <r>
    <x v="2"/>
    <d v="2026-03-07T00:00:00"/>
    <x v="0"/>
    <x v="0"/>
    <s v="030623-0010-01"/>
    <s v="RÓTULO DE IDENTIF MIRROR 21L 450X250MM"/>
    <x v="1"/>
    <s v="ROTULO"/>
    <s v="5619-02"/>
    <s v="MICRO-ONDAS MO-01-21-E 220V/60HZ"/>
    <s v="MO 21L"/>
    <n v="14"/>
    <n v="14"/>
    <n v="0"/>
    <d v="2026-03-19T00:00:00"/>
    <x v="0"/>
    <x v="0"/>
    <m/>
    <n v="29867"/>
    <s v="JXA2303"/>
    <d v="2026-04-16T00:00:00"/>
  </r>
  <r>
    <x v="2"/>
    <d v="2026-03-07T00:00:00"/>
    <x v="0"/>
    <x v="0"/>
    <s v="040323-0003-01"/>
    <s v="CALÇO DE EPS SUPERIOR 21L 480X385X150MM"/>
    <x v="1"/>
    <s v="CALÇO"/>
    <s v="5616-03"/>
    <s v="MICRO-ONDAS MO-01-21-W 127V/60HZ ."/>
    <s v="MO 21L"/>
    <n v="6"/>
    <n v="6"/>
    <n v="0"/>
    <d v="2026-04-14T00:00:00"/>
    <x v="5"/>
    <x v="0"/>
    <m/>
    <n v="30398"/>
    <s v="JXB1402"/>
    <d v="2026-06-19T00:00:00"/>
  </r>
  <r>
    <x v="2"/>
    <d v="2026-03-07T00:00:00"/>
    <x v="0"/>
    <x v="0"/>
    <s v="040323-0001-01"/>
    <s v="CALÇO DE EPS INFERIOR 21L 480X385X150MM"/>
    <x v="1"/>
    <s v="CALÇO"/>
    <s v="5616-03"/>
    <s v="MICRO-ONDAS MO-01-21-W 127V/60HZ ."/>
    <s v="MO 21L"/>
    <n v="6"/>
    <n v="6"/>
    <n v="0"/>
    <d v="2026-04-14T00:00:00"/>
    <x v="5"/>
    <x v="0"/>
    <m/>
    <n v="30398"/>
    <s v="JXB1402"/>
    <d v="2026-06-19T00:00:00"/>
  </r>
  <r>
    <x v="2"/>
    <d v="2026-03-07T00:00:00"/>
    <x v="0"/>
    <x v="0"/>
    <s v="030623-0007-01"/>
    <s v="RÓTULO DE IDENTIF WHITE 21L 450X250MM"/>
    <x v="1"/>
    <s v="ROTULO"/>
    <s v="5616-03"/>
    <s v="MICRO-ONDAS MO-01-21-W 127V/60HZ ."/>
    <s v="MO 21L"/>
    <n v="6"/>
    <n v="6"/>
    <n v="0"/>
    <d v="2026-03-19T00:00:00"/>
    <x v="0"/>
    <x v="0"/>
    <m/>
    <n v="29857"/>
    <s v="JXA2303"/>
    <d v="2026-04-16T00:00:00"/>
  </r>
  <r>
    <x v="2"/>
    <d v="2026-03-07T00:00:00"/>
    <x v="0"/>
    <x v="0"/>
    <s v="040323-0003-01"/>
    <s v="CALÇO DE EPS SUPERIOR 21L 480X385X150MM"/>
    <x v="1"/>
    <s v="CALÇO"/>
    <s v="5616-04"/>
    <s v="MICRO-ONDAS MO-01-21-W 220V/60HZ"/>
    <s v="MO 21L"/>
    <n v="69"/>
    <n v="69"/>
    <n v="0"/>
    <d v="2026-04-14T00:00:00"/>
    <x v="5"/>
    <x v="0"/>
    <m/>
    <n v="30398"/>
    <s v="JXB1402"/>
    <d v="2026-06-19T00:00:00"/>
  </r>
  <r>
    <x v="2"/>
    <d v="2026-03-07T00:00:00"/>
    <x v="0"/>
    <x v="0"/>
    <s v="040323-0001-01"/>
    <s v="CALÇO DE EPS INFERIOR 21L 480X385X150MM"/>
    <x v="1"/>
    <s v="CALÇO"/>
    <s v="5616-04"/>
    <s v="MICRO-ONDAS MO-01-21-W 220V/60HZ"/>
    <s v="MO 21L"/>
    <n v="69"/>
    <n v="69"/>
    <n v="0"/>
    <d v="2026-04-14T00:00:00"/>
    <x v="5"/>
    <x v="0"/>
    <m/>
    <n v="30398"/>
    <s v="JXB1402"/>
    <d v="2026-06-19T00:00:00"/>
  </r>
  <r>
    <x v="2"/>
    <d v="2026-03-07T00:00:00"/>
    <x v="0"/>
    <x v="0"/>
    <s v="030623-0007-01"/>
    <s v="RÓTULO DE IDENTIF WHITE 21L 450X250MM"/>
    <x v="1"/>
    <s v="ROTULO"/>
    <s v="5616-04"/>
    <s v="MICRO-ONDAS MO-01-21-W 220V/60HZ"/>
    <s v="MO 21L"/>
    <n v="68"/>
    <n v="68"/>
    <n v="0"/>
    <d v="2026-03-19T00:00:00"/>
    <x v="0"/>
    <x v="0"/>
    <m/>
    <n v="29857"/>
    <s v="JXA2303"/>
    <d v="2026-04-16T00:00:00"/>
  </r>
  <r>
    <x v="2"/>
    <d v="2026-03-07T00:00:00"/>
    <x v="0"/>
    <x v="0"/>
    <s v="040323-0003-01"/>
    <s v="CALÇO DE EPS SUPERIOR 21L 480X385X150MM"/>
    <x v="1"/>
    <s v="CALÇO"/>
    <s v="5616-02"/>
    <s v="MICRO-ONDAS MO-01-21-W 220V/60HZ"/>
    <s v="MO 21L"/>
    <n v="172"/>
    <n v="172"/>
    <n v="0"/>
    <d v="2026-04-14T00:00:00"/>
    <x v="17"/>
    <x v="0"/>
    <m/>
    <n v="30399"/>
    <s v="BYE7A94"/>
    <d v="2026-06-19T00:00:00"/>
  </r>
  <r>
    <x v="2"/>
    <d v="2026-03-07T00:00:00"/>
    <x v="0"/>
    <x v="0"/>
    <s v="040323-0001-01"/>
    <s v="CALÇO DE EPS INFERIOR 21L 480X385X150MM"/>
    <x v="1"/>
    <s v="CALÇO"/>
    <s v="5616-02"/>
    <s v="MICRO-ONDAS MO-01-21-W 220V/60HZ"/>
    <s v="MO 21L"/>
    <n v="172"/>
    <n v="172"/>
    <n v="0"/>
    <d v="2026-04-14T00:00:00"/>
    <x v="17"/>
    <x v="0"/>
    <m/>
    <n v="30399"/>
    <s v="BYE7A94"/>
    <d v="2026-06-19T00:00:00"/>
  </r>
  <r>
    <x v="2"/>
    <d v="2026-03-07T00:00:00"/>
    <x v="0"/>
    <x v="0"/>
    <s v="030623-0002-02"/>
    <s v="RÓTULO DE IDENTIF WHITE 21L "/>
    <x v="1"/>
    <s v="ROTULO"/>
    <s v="5616-02"/>
    <s v="MICRO-ONDAS MO-01-21-W 220V/60HZ"/>
    <s v="MO 21L"/>
    <n v="173"/>
    <n v="173"/>
    <n v="0"/>
    <d v="2026-03-19T00:00:00"/>
    <x v="0"/>
    <x v="0"/>
    <m/>
    <n v="29857"/>
    <s v="JXA2303"/>
    <d v="2026-04-16T00:00:00"/>
  </r>
  <r>
    <x v="2"/>
    <d v="2026-03-07T00:00:00"/>
    <x v="0"/>
    <x v="0"/>
    <s v="040323-0006-01"/>
    <s v="CALÇO DE EPS INFERIOR 34L "/>
    <x v="1"/>
    <s v="CALÇO"/>
    <s v="5774-01"/>
    <s v="MICRO-ONDAS MO-02-34-B 127V/60HZ ."/>
    <s v="MO 34L"/>
    <n v="9"/>
    <n v="9"/>
    <n v="0"/>
    <d v="2026-08-06T00:00:00"/>
    <x v="11"/>
    <x v="0"/>
    <s v="NF 01"/>
    <n v="31170"/>
    <s v="JXU2118"/>
    <d v="2026-08-26T00:00:00"/>
  </r>
  <r>
    <x v="2"/>
    <d v="2026-03-07T00:00:00"/>
    <x v="0"/>
    <x v="0"/>
    <s v="040323-0005-01"/>
    <s v="CALÇO DE EPS SUPERIOR 34L "/>
    <x v="1"/>
    <s v="CALÇO"/>
    <s v="5774-01"/>
    <s v="MICRO-ONDAS MO-02-34-B 127V/60HZ ."/>
    <s v="MO 34L"/>
    <n v="9"/>
    <n v="9"/>
    <n v="0"/>
    <d v="2026-08-06T00:00:00"/>
    <x v="11"/>
    <x v="0"/>
    <s v="NF 01"/>
    <n v="31170"/>
    <s v="JXU2118"/>
    <d v="2026-08-26T00:00:00"/>
  </r>
  <r>
    <x v="2"/>
    <d v="2026-03-07T00:00:00"/>
    <x v="0"/>
    <x v="0"/>
    <s v="030623-0005-01"/>
    <s v="RÓTULO DE IDENTIF BLACK 34L 530X285MM"/>
    <x v="1"/>
    <s v="ROTULO"/>
    <s v="5774-01"/>
    <s v="MICRO-ONDAS MO-02-34-B 127V/60HZ ."/>
    <s v="MO 34L"/>
    <n v="9"/>
    <n v="9"/>
    <n v="0"/>
    <d v="2026-03-19T00:00:00"/>
    <x v="0"/>
    <x v="0"/>
    <m/>
    <n v="29857"/>
    <s v="JXA2303"/>
    <d v="2026-04-16T00:00:00"/>
  </r>
  <r>
    <x v="2"/>
    <d v="2026-03-07T00:00:00"/>
    <x v="0"/>
    <x v="0"/>
    <s v="040323-0006-01"/>
    <s v="CALÇO DE EPS INFERIOR 34L "/>
    <x v="1"/>
    <s v="CALÇO"/>
    <s v="5774-02"/>
    <s v="MICRO-ONDAS MO-02-34-B 220V/60HZ ."/>
    <s v="MO 34L"/>
    <n v="2"/>
    <n v="2"/>
    <n v="0"/>
    <d v="2026-08-06T00:00:00"/>
    <x v="11"/>
    <x v="0"/>
    <s v="NF 01"/>
    <n v="31170"/>
    <s v="JXU2118"/>
    <d v="2026-08-26T00:00:00"/>
  </r>
  <r>
    <x v="2"/>
    <d v="2026-03-07T00:00:00"/>
    <x v="0"/>
    <x v="0"/>
    <s v="040323-0005-01"/>
    <s v="CALÇO DE EPS SUPERIOR 34L "/>
    <x v="1"/>
    <s v="CALÇO"/>
    <s v="5774-02"/>
    <s v="MICRO-ONDAS MO-02-34-B 220V/60HZ ."/>
    <s v="MO 34L"/>
    <n v="2"/>
    <n v="2"/>
    <n v="0"/>
    <d v="2026-08-06T00:00:00"/>
    <x v="11"/>
    <x v="0"/>
    <s v="NF 01"/>
    <n v="31170"/>
    <s v="JXU2118"/>
    <d v="2026-08-26T00:00:00"/>
  </r>
  <r>
    <x v="2"/>
    <d v="2026-03-07T00:00:00"/>
    <x v="0"/>
    <x v="0"/>
    <s v="030623-0005-01"/>
    <s v="RÓTULO DE IDENTIF BLACK 34L 530X285MM"/>
    <x v="1"/>
    <s v="ROTULO"/>
    <s v="5774-02"/>
    <s v="MICRO-ONDAS MO-02-34-B 220V/60HZ ."/>
    <s v="MO 34L"/>
    <n v="2"/>
    <n v="2"/>
    <n v="0"/>
    <d v="2026-03-19T00:00:00"/>
    <x v="0"/>
    <x v="0"/>
    <m/>
    <n v="29857"/>
    <s v="JXA2303"/>
    <d v="2026-04-16T00:00:00"/>
  </r>
  <r>
    <x v="2"/>
    <d v="2026-03-07T00:00:00"/>
    <x v="0"/>
    <x v="0"/>
    <s v="040323-0006-01"/>
    <s v="CALÇO DE EPS INFERIOR 34L "/>
    <x v="1"/>
    <s v="CALÇO"/>
    <s v="5618-03"/>
    <s v="MICRO-ONDAS MO-02-34-E 127V/60HZ ."/>
    <s v="MO 34L"/>
    <n v="315"/>
    <n v="315"/>
    <n v="0"/>
    <d v="2026-08-07T00:00:00"/>
    <x v="11"/>
    <x v="0"/>
    <s v="NF 03"/>
    <n v="31172"/>
    <s v="JXI1785"/>
    <d v="2026-08-26T00:00:00"/>
  </r>
  <r>
    <x v="2"/>
    <d v="2026-03-07T00:00:00"/>
    <x v="0"/>
    <x v="0"/>
    <s v="040323-0005-01"/>
    <s v="CALÇO DE EPS SUPERIOR 34L "/>
    <x v="1"/>
    <s v="CALÇO"/>
    <s v="5618-03"/>
    <s v="MICRO-ONDAS MO-02-34-E 127V/60HZ ."/>
    <s v="MO 34L"/>
    <n v="160"/>
    <n v="160"/>
    <n v="0"/>
    <d v="2026-08-06T00:00:00"/>
    <x v="11"/>
    <x v="0"/>
    <s v="NF 04"/>
    <n v="31173"/>
    <s v="JWF8303"/>
    <d v="2026-08-26T00:00:00"/>
  </r>
  <r>
    <x v="2"/>
    <d v="2026-03-07T00:00:00"/>
    <x v="0"/>
    <x v="0"/>
    <s v="030623-0008-01"/>
    <s v="RÓTULO DE IDENTIF BLACK 34L 530X285MM"/>
    <x v="1"/>
    <s v="ROTULO"/>
    <s v="5618-03"/>
    <s v="MICRO-ONDAS MO-02-34-E 127V/60HZ ."/>
    <s v="MO 34L"/>
    <n v="477"/>
    <n v="477"/>
    <n v="0"/>
    <d v="2026-03-19T00:00:00"/>
    <x v="0"/>
    <x v="0"/>
    <m/>
    <n v="29857"/>
    <s v="JXA2303"/>
    <d v="2026-04-16T00:00:00"/>
  </r>
  <r>
    <x v="2"/>
    <d v="2026-03-07T00:00:00"/>
    <x v="0"/>
    <x v="0"/>
    <s v="040323-0006-01"/>
    <s v="CALÇO DE EPS INFERIOR 34L "/>
    <x v="1"/>
    <s v="CALÇO"/>
    <s v="5618-02"/>
    <s v="MICRO-ONDAS MO-02-34-E 220V/60HZ ."/>
    <s v="MO 34L"/>
    <n v="16"/>
    <n v="16"/>
    <n v="0"/>
    <d v="2026-08-06T00:00:00"/>
    <x v="11"/>
    <x v="0"/>
    <s v="NF 01"/>
    <n v="31170"/>
    <s v="JXU2118"/>
    <d v="2026-08-26T00:00:00"/>
  </r>
  <r>
    <x v="2"/>
    <d v="2026-03-07T00:00:00"/>
    <x v="0"/>
    <x v="0"/>
    <s v="040323-0005-01"/>
    <s v="CALÇO DE EPS SUPERIOR 34L "/>
    <x v="1"/>
    <s v="CALÇO"/>
    <s v="5618-02"/>
    <s v="MICRO-ONDAS MO-02-34-E 220V/60HZ ."/>
    <s v="MO 34L"/>
    <n v="16"/>
    <n v="16"/>
    <n v="0"/>
    <d v="2026-08-06T00:00:00"/>
    <x v="11"/>
    <x v="0"/>
    <s v="NF 01"/>
    <n v="31170"/>
    <s v="JXU2118"/>
    <d v="2026-08-26T00:00:00"/>
  </r>
  <r>
    <x v="2"/>
    <d v="2026-03-07T00:00:00"/>
    <x v="0"/>
    <x v="0"/>
    <s v="030623-0003-02"/>
    <s v="RÓTULO DE IDENTIF MIRROR 34L 530X285MM"/>
    <x v="1"/>
    <s v="ROTULO"/>
    <s v="5618-02"/>
    <s v="MICRO-ONDAS MO-02-34-E 220V/60HZ ."/>
    <s v="MO 34L"/>
    <n v="16"/>
    <m/>
    <n v="-16"/>
    <m/>
    <x v="3"/>
    <x v="2"/>
    <s v="Sem saldo, não pode usar o modelo atual; Fazer pedido por e-mail"/>
    <m/>
    <m/>
    <m/>
  </r>
  <r>
    <x v="2"/>
    <d v="2026-03-07T00:00:00"/>
    <x v="0"/>
    <x v="0"/>
    <s v="040323-0006-01"/>
    <s v="CALÇO DE EPS INFERIOR 34L "/>
    <x v="1"/>
    <s v="CALÇO"/>
    <s v="5618-04"/>
    <s v="MICRO-ONDAS MO-02-34-E 220V/60HZ ."/>
    <s v="MO 34L"/>
    <n v="64"/>
    <n v="64"/>
    <n v="0"/>
    <d v="2026-08-06T00:00:00"/>
    <x v="11"/>
    <x v="0"/>
    <s v="NF 01"/>
    <n v="31170"/>
    <s v="JXU2118"/>
    <d v="2026-08-26T00:00:00"/>
  </r>
  <r>
    <x v="2"/>
    <d v="2026-03-07T00:00:00"/>
    <x v="0"/>
    <x v="0"/>
    <s v="040323-0005-01"/>
    <s v="CALÇO DE EPS SUPERIOR 34L "/>
    <x v="1"/>
    <s v="CALÇO"/>
    <s v="5618-04"/>
    <s v="MICRO-ONDAS MO-02-34-E 220V/60HZ ."/>
    <s v="MO 34L"/>
    <n v="64"/>
    <n v="64"/>
    <n v="0"/>
    <d v="2026-08-06T00:00:00"/>
    <x v="11"/>
    <x v="0"/>
    <s v="NF 01"/>
    <n v="31170"/>
    <s v="JXU2118"/>
    <d v="2026-08-26T00:00:00"/>
  </r>
  <r>
    <x v="2"/>
    <d v="2026-03-07T00:00:00"/>
    <x v="0"/>
    <x v="0"/>
    <s v="030623-0008-01"/>
    <s v="RÓTULO DE IDENTIF BLACK 34L 530X285MM"/>
    <x v="1"/>
    <s v="ROTULO"/>
    <s v="5618-04"/>
    <s v="MICRO-ONDAS MO-02-34-E 220V/60HZ ."/>
    <s v="MO 34L"/>
    <n v="64"/>
    <n v="64"/>
    <n v="0"/>
    <d v="2026-03-19T00:00:00"/>
    <x v="0"/>
    <x v="0"/>
    <m/>
    <n v="29857"/>
    <s v="JXA2303"/>
    <d v="2026-04-16T00:00:00"/>
  </r>
  <r>
    <x v="2"/>
    <d v="2026-03-07T00:00:00"/>
    <x v="0"/>
    <x v="0"/>
    <s v="040323-0006-01"/>
    <s v="CALÇO DE EPS INFERIOR 34L "/>
    <x v="1"/>
    <s v="CALÇO"/>
    <s v="5617-04"/>
    <s v="MICRO-ONDAS MO-02-34-W 220V/60HZ ."/>
    <s v="MO 34L"/>
    <n v="121"/>
    <n v="121"/>
    <n v="0"/>
    <d v="2026-08-07T00:00:00"/>
    <x v="11"/>
    <x v="0"/>
    <s v="NF 04"/>
    <n v="31173"/>
    <s v="JWF8303"/>
    <d v="2026-08-26T00:00:00"/>
  </r>
  <r>
    <x v="2"/>
    <d v="2026-03-07T00:00:00"/>
    <x v="0"/>
    <x v="0"/>
    <s v="040323-0005-01"/>
    <s v="CALÇO DE EPS SUPERIOR 34L "/>
    <x v="1"/>
    <s v="CALÇO"/>
    <s v="5617-04"/>
    <s v="MICRO-ONDAS MO-02-34-W 220V/60HZ ."/>
    <s v="MO 34L"/>
    <n v="121"/>
    <n v="121"/>
    <n v="0"/>
    <d v="2026-08-06T00:00:00"/>
    <x v="11"/>
    <x v="0"/>
    <s v="NF 04"/>
    <n v="31173"/>
    <s v="JWF8303"/>
    <d v="2026-08-26T00:00:00"/>
  </r>
  <r>
    <x v="2"/>
    <d v="2026-03-07T00:00:00"/>
    <x v="0"/>
    <x v="0"/>
    <s v="030623-0009-01"/>
    <s v="RÓTULO DE IDENTIF WHITE 34L 530X285MM"/>
    <x v="1"/>
    <s v="ROTULO"/>
    <s v="5617-04"/>
    <s v="MICRO-ONDAS MO-02-34-W 220V/60HZ ."/>
    <s v="MO 34L"/>
    <n v="121"/>
    <n v="121"/>
    <n v="0"/>
    <d v="2026-03-19T00:00:00"/>
    <x v="0"/>
    <x v="0"/>
    <m/>
    <n v="29857"/>
    <s v="JXA2303"/>
    <d v="2026-04-16T00:00:00"/>
  </r>
  <r>
    <x v="2"/>
    <d v="2026-03-07T00:00:00"/>
    <x v="0"/>
    <x v="0"/>
    <s v="030625-0005-01"/>
    <s v="ROTULO DE IDENTIFICAÇAO T1W"/>
    <x v="1"/>
    <s v="ROTULO"/>
    <s v="5116-01"/>
    <s v="TORRE DE SOM AWS-T1W-02 BIVOLT BLUETOOTH"/>
    <s v="T1W"/>
    <n v="548"/>
    <n v="548"/>
    <n v="0"/>
    <d v="2026-03-19T00:00:00"/>
    <x v="6"/>
    <x v="0"/>
    <m/>
    <n v="29915"/>
    <s v="JXA5313"/>
    <d v="2026-05-04T00:00:00"/>
  </r>
  <r>
    <x v="2"/>
    <d v="2026-03-07T00:00:00"/>
    <x v="0"/>
    <x v="0"/>
    <s v="030625-0006-01"/>
    <s v="RÓTULO DE IDENTIF T2W"/>
    <x v="1"/>
    <s v="ROTULO"/>
    <s v="5016-01"/>
    <s v="TORRE DE SOM AWS-T2W-02 BIVOLT BLUETOOTH"/>
    <s v="T2W"/>
    <n v="400"/>
    <n v="400"/>
    <n v="0"/>
    <d v="2026-04-15T00:00:00"/>
    <x v="6"/>
    <x v="0"/>
    <m/>
    <n v="29980"/>
    <s v="JXA5313"/>
    <d v="2026-05-04T00:00:00"/>
  </r>
  <r>
    <x v="2"/>
    <d v="2026-03-07T00:00:00"/>
    <x v="0"/>
    <x v="0"/>
    <s v="030625-0006-01"/>
    <s v="RÓTULO DE IDENTIF T2W"/>
    <x v="1"/>
    <s v="ROTULO"/>
    <s v="5016-01"/>
    <s v="TORRE DE SOM AWS-T2W-02 BIVOLT BLUETOOTH"/>
    <s v="T2W"/>
    <n v="1146"/>
    <n v="1146"/>
    <n v="0"/>
    <d v="2026-04-15T00:00:00"/>
    <x v="12"/>
    <x v="0"/>
    <m/>
    <n v="30006"/>
    <s v="JWN9768"/>
    <d v="2026-05-06T00:00:00"/>
  </r>
  <r>
    <x v="2"/>
    <d v="2026-03-07T00:00:00"/>
    <x v="0"/>
    <x v="0"/>
    <s v="030625-0006-01"/>
    <s v="RÓTULO DE IDENTIF T2W"/>
    <x v="1"/>
    <s v="ROTULO"/>
    <s v="5016-01"/>
    <s v="TORRE DE SOM AWS-T2W-02 BIVOLT BLUETOOTH"/>
    <s v="T2W"/>
    <n v="1042"/>
    <n v="1042"/>
    <n v="0"/>
    <d v="2026-04-15T00:00:00"/>
    <x v="8"/>
    <x v="0"/>
    <m/>
    <n v="30027"/>
    <s v="DJF1135"/>
    <d v="2026-05-11T00:00:00"/>
  </r>
  <r>
    <x v="2"/>
    <d v="2026-03-07T00:00:00"/>
    <x v="0"/>
    <x v="0"/>
    <s v="040125-0023-01"/>
    <s v="CX DE EMBALAGEM INDIVIDUAL T1W"/>
    <x v="0"/>
    <s v="CAIXA INDIVIDUAL"/>
    <s v="5116-01"/>
    <s v="TORRE DE SOM AWS-T1W-02 BIVOLT BLUETOOTH"/>
    <s v="T1W"/>
    <n v="274"/>
    <n v="274"/>
    <n v="0"/>
    <d v="2026-03-19T00:00:00"/>
    <x v="6"/>
    <x v="0"/>
    <m/>
    <n v="29915"/>
    <s v="JXA5313"/>
    <d v="2026-05-04T00:00:00"/>
  </r>
  <r>
    <x v="2"/>
    <d v="2026-03-07T00:00:00"/>
    <x v="0"/>
    <x v="0"/>
    <s v="040125-0024-01"/>
    <s v="CX DE EMBALAGEM INDIVIDUAL T2W"/>
    <x v="0"/>
    <s v="CAIXA INDIVIDUAL"/>
    <s v="5016-01"/>
    <s v="TORRE DE SOM AWS-T2W-02 BIVOLT BLUETOOTH"/>
    <s v="T2W"/>
    <n v="200"/>
    <n v="200"/>
    <n v="0"/>
    <d v="2026-04-15T00:00:00"/>
    <x v="6"/>
    <x v="0"/>
    <m/>
    <n v="29980"/>
    <s v="JXA5313"/>
    <d v="2026-05-04T00:00:00"/>
  </r>
  <r>
    <x v="2"/>
    <d v="2026-03-07T00:00:00"/>
    <x v="0"/>
    <x v="0"/>
    <s v="040125-0024-01"/>
    <s v="CX DE EMBALAGEM INDIVIDUAL T2W"/>
    <x v="0"/>
    <s v="CAIXA INDIVIDUAL"/>
    <s v="5016-01"/>
    <s v="TORRE DE SOM AWS-T2W-02 BIVOLT BLUETOOTH"/>
    <s v="T2W"/>
    <n v="573"/>
    <n v="573"/>
    <n v="0"/>
    <d v="2026-04-15T00:00:00"/>
    <x v="12"/>
    <x v="0"/>
    <m/>
    <n v="30006"/>
    <s v="JWN9768"/>
    <d v="2026-05-06T00:00:00"/>
  </r>
  <r>
    <x v="2"/>
    <d v="2026-03-07T00:00:00"/>
    <x v="0"/>
    <x v="0"/>
    <s v="040125-0024-01"/>
    <s v="CX DE EMBALAGEM INDIVIDUAL T2W"/>
    <x v="0"/>
    <s v="CAIXA INDIVIDUAL"/>
    <s v="5016-01"/>
    <s v="TORRE DE SOM AWS-T2W-02 BIVOLT BLUETOOTH"/>
    <s v="T2W"/>
    <n v="521"/>
    <n v="521"/>
    <n v="0"/>
    <d v="2026-04-15T00:00:00"/>
    <x v="8"/>
    <x v="0"/>
    <m/>
    <n v="30027"/>
    <s v="DJF1135"/>
    <d v="2026-05-11T00:00:00"/>
  </r>
  <r>
    <x v="2"/>
    <d v="2026-03-07T00:00:00"/>
    <x v="0"/>
    <x v="0"/>
    <s v="030625-0008-01"/>
    <s v="RÓTULO DE IDENTIF TM-1200"/>
    <x v="1"/>
    <s v="ROTULO"/>
    <s v="2401-01"/>
    <s v="TORRE DE SOM TM-1200 BIV"/>
    <s v="TM1200"/>
    <n v="256"/>
    <n v="256"/>
    <n v="0"/>
    <d v="2026-03-19T00:00:00"/>
    <x v="6"/>
    <x v="0"/>
    <m/>
    <n v="29917"/>
    <s v="JXA5313"/>
    <d v="2026-05-04T00:00:00"/>
  </r>
  <r>
    <x v="2"/>
    <d v="2026-03-07T00:00:00"/>
    <x v="0"/>
    <x v="0"/>
    <s v="030625-0009-01"/>
    <s v="RÓTULO DE IDENTIF TM-2200"/>
    <x v="1"/>
    <s v="ROTULO"/>
    <s v="2501-01"/>
    <s v="TORRE DE SOM TM2200 BIV"/>
    <s v="TM2200"/>
    <n v="174"/>
    <n v="174"/>
    <n v="0"/>
    <d v="2026-03-19T00:00:00"/>
    <x v="6"/>
    <x v="0"/>
    <m/>
    <n v="29918"/>
    <s v="JXA5313"/>
    <d v="2026-05-04T00:00:00"/>
  </r>
  <r>
    <x v="2"/>
    <d v="2026-03-07T00:00:00"/>
    <x v="0"/>
    <x v="0"/>
    <s v="040125-0027-01"/>
    <s v="CX DE EMBALAGEM INDIVIDUAL TM-1200"/>
    <x v="0"/>
    <s v="CAIXA INDIVIDUAL"/>
    <s v="2401-01"/>
    <s v="TORRE DE SOM TM-1200 BIV"/>
    <s v="TM1200"/>
    <n v="128"/>
    <n v="128"/>
    <n v="0"/>
    <d v="2026-03-19T00:00:00"/>
    <x v="6"/>
    <x v="0"/>
    <m/>
    <n v="29917"/>
    <s v="JXA5313"/>
    <d v="2026-05-04T00:00:00"/>
  </r>
  <r>
    <x v="2"/>
    <d v="2026-03-07T00:00:00"/>
    <x v="0"/>
    <x v="0"/>
    <s v="040125-0028-01"/>
    <s v="CX DE EMBALAGEM INDIVIDUAL TM-2200"/>
    <x v="0"/>
    <s v="CAIXA INDIVIDUAL"/>
    <s v="2501-01"/>
    <s v="TORRE DE SOM TM2200 BIV"/>
    <s v="TM2200"/>
    <n v="87"/>
    <n v="87"/>
    <n v="0"/>
    <d v="2026-03-19T00:00:00"/>
    <x v="6"/>
    <x v="0"/>
    <m/>
    <n v="29918"/>
    <s v="JXA5313"/>
    <d v="2026-05-04T00:00:00"/>
  </r>
  <r>
    <x v="2"/>
    <d v="2026-03-07T00:00:00"/>
    <x v="0"/>
    <x v="0"/>
    <s v="040122-0015-01"/>
    <s v="CX DE EMBALAGEM INDIVIDUAL ANDROID 32"/>
    <x v="0"/>
    <s v="CAIXA INDIVIDUAL"/>
    <s v="8832-02"/>
    <s v="TV 32 ANDROID BORD INF AWS-TV-32-BL-02-A"/>
    <s v="TV 32 ANDROID"/>
    <n v="1049"/>
    <n v="1049"/>
    <n v="0"/>
    <d v="2026-03-19T00:00:00"/>
    <x v="16"/>
    <x v="0"/>
    <m/>
    <n v="29809"/>
    <s v="NVK1H36"/>
    <d v="2026-04-12T00:00:00"/>
  </r>
  <r>
    <x v="2"/>
    <d v="2026-03-07T00:00:00"/>
    <x v="0"/>
    <x v="0"/>
    <s v="040122-0016-01"/>
    <s v="CX DE EMBALAGEM INDIVIDUAL ANDROID 43&quot;"/>
    <x v="0"/>
    <s v="CAIXA INDIVIDUAL"/>
    <s v="8843-03"/>
    <s v="TV 43 ANDROID BORD INF AWS-TV-43-BL-02-A"/>
    <s v="TV 43 ANDROID"/>
    <n v="250"/>
    <n v="250"/>
    <n v="0"/>
    <d v="2026-05-11T00:00:00"/>
    <x v="4"/>
    <x v="0"/>
    <m/>
    <n v="30320"/>
    <s v="JXU2478"/>
    <d v="2026-06-11T00:00:00"/>
  </r>
  <r>
    <x v="2"/>
    <d v="2026-03-07T00:00:00"/>
    <x v="0"/>
    <x v="0"/>
    <s v="040122-0017-01"/>
    <s v="CX DE EMBALAGEM INDIVIDUAL TV50&quot;"/>
    <x v="0"/>
    <s v="CAIXA INDIVIDUAL"/>
    <s v="5026-02"/>
    <s v="TV 50 ANDROID BORD INF AWS-TV-50-BL-02-A"/>
    <s v="TV 50 ANDROID"/>
    <n v="53"/>
    <n v="53"/>
    <n v="0"/>
    <d v="2026-03-19T00:00:00"/>
    <x v="16"/>
    <x v="0"/>
    <m/>
    <n v="29809"/>
    <s v="NVK1H36"/>
    <d v="2026-04-12T00:00:00"/>
  </r>
  <r>
    <x v="2"/>
    <d v="2026-03-07T00:00:00"/>
    <x v="0"/>
    <x v="0"/>
    <s v="040122-0018-01"/>
    <s v="CX DE EMBALAGEM INDIVIDUAL TV55&quot; - TEMP"/>
    <x v="0"/>
    <s v="CAIXA INDIVIDUAL"/>
    <s v="5504-02"/>
    <s v="TV 55 ANDROID AWS-TV-55-BL-01"/>
    <s v="TV 55 ANDROID"/>
    <n v="135"/>
    <n v="135"/>
    <n v="0"/>
    <d v="2026-03-19T00:00:00"/>
    <x v="16"/>
    <x v="0"/>
    <m/>
    <n v="29809"/>
    <s v="NVK1H36"/>
    <d v="2026-04-12T00:00:00"/>
  </r>
  <r>
    <x v="2"/>
    <d v="2026-03-07T00:00:00"/>
    <x v="0"/>
    <x v="0"/>
    <s v="040122-0018-01"/>
    <s v="CX DE EMBALAGEM INDIVIDUAL TV55&quot; - TEMP"/>
    <x v="0"/>
    <s v="CAIXA INDIVIDUAL"/>
    <s v="5504-01"/>
    <s v="TV 55 ANDROID AWS-TV-55-BL-01"/>
    <s v="TV 55 ANDROID"/>
    <n v="24"/>
    <n v="24"/>
    <n v="0"/>
    <d v="2026-03-19T00:00:00"/>
    <x v="6"/>
    <x v="0"/>
    <m/>
    <n v="29913"/>
    <s v="JXA5313"/>
    <d v="2026-05-04T00:00:00"/>
  </r>
  <r>
    <x v="2"/>
    <d v="2026-03-07T00:00:00"/>
    <x v="0"/>
    <x v="0"/>
    <s v="040122-0013-01"/>
    <s v="CX DE EMBALAGEM INDIVIDUAL GOOGLE 65"/>
    <x v="0"/>
    <s v="CAIXA INDIVIDUAL"/>
    <s v="5022-01"/>
    <s v="TV 65 GOOGLE INF AWS-TV-65-BL-01-G"/>
    <s v="TV 65"/>
    <n v="1"/>
    <n v="1"/>
    <n v="0"/>
    <d v="2026-03-19T00:00:00"/>
    <x v="0"/>
    <x v="0"/>
    <m/>
    <n v="29860"/>
    <s v="JXA2303"/>
    <d v="2026-04-16T00:00:00"/>
  </r>
  <r>
    <x v="2"/>
    <d v="2026-03-07T00:00:00"/>
    <x v="0"/>
    <x v="0"/>
    <s v="040323-0006-01"/>
    <s v="CALÇO DE EPS INFERIOR 34L "/>
    <x v="1"/>
    <s v="CALÇO"/>
    <s v="5618-03"/>
    <s v="MICRO-ONDAS MO-02-34-E 127V/60HZ ."/>
    <s v="MO 34L"/>
    <n v="160"/>
    <n v="160"/>
    <n v="0"/>
    <d v="2026-08-07T00:00:00"/>
    <x v="11"/>
    <x v="0"/>
    <s v="NF 04"/>
    <n v="31173"/>
    <s v="JWF8303"/>
    <d v="2026-08-26T00:00:00"/>
  </r>
  <r>
    <x v="2"/>
    <d v="2026-03-07T00:00:00"/>
    <x v="0"/>
    <x v="0"/>
    <s v="040323-0006-01"/>
    <s v="CALÇO DE EPS INFERIOR 34L "/>
    <x v="1"/>
    <s v="CALÇO"/>
    <s v="5618-03"/>
    <s v="MICRO-ONDAS MO-02-34-E 127V/60HZ ."/>
    <s v="MO 34L"/>
    <n v="2"/>
    <n v="4"/>
    <n v="2"/>
    <d v="2026-08-18T00:00:00"/>
    <x v="18"/>
    <x v="0"/>
    <s v="NF 10"/>
    <n v="31242"/>
    <s v="BSF6536"/>
    <d v="2026-09-04T00:00:00"/>
  </r>
  <r>
    <x v="2"/>
    <d v="2026-03-07T00:00:00"/>
    <x v="0"/>
    <x v="0"/>
    <s v="040323-0005-01"/>
    <s v="CALÇO DE EPS SUPERIOR 34L "/>
    <x v="1"/>
    <s v="CALÇO"/>
    <s v="5618-03"/>
    <s v="MICRO-ONDAS MO-02-34-E 127V/60HZ ."/>
    <s v="MO 34L"/>
    <n v="2"/>
    <n v="4"/>
    <n v="2"/>
    <d v="2026-08-18T00:00:00"/>
    <x v="18"/>
    <x v="0"/>
    <s v="NF 10"/>
    <n v="31242"/>
    <s v="BSF6536"/>
    <d v="2026-09-04T00:00:00"/>
  </r>
  <r>
    <x v="3"/>
    <d v="2026-03-26T00:00:00"/>
    <x v="2"/>
    <x v="1"/>
    <s v="040125-0012-01"/>
    <s v="CX DE EMBALAGEM INDIVIDUAL CM-400"/>
    <x v="0"/>
    <s v="CAIXA INDIVIDUAL"/>
    <s v="0685-04"/>
    <s v="CAIXA AMPLIFICADA CM-400 BIVOLT ."/>
    <s v="CM400"/>
    <n v="500"/>
    <n v="500"/>
    <n v="0"/>
    <d v="2026-05-11T00:00:00"/>
    <x v="4"/>
    <x v="0"/>
    <m/>
    <n v="30303"/>
    <s v="JXU2478"/>
    <d v="2026-06-11T00:00:00"/>
  </r>
  <r>
    <x v="3"/>
    <d v="2026-03-26T00:00:00"/>
    <x v="2"/>
    <x v="1"/>
    <s v="040125-0009-01"/>
    <s v="CX DE EMBALAGEM INDIVIDUAL CM-700"/>
    <x v="0"/>
    <s v="CAIXA INDIVIDUAL"/>
    <s v="9915-03"/>
    <s v="CAIXA AMPLIFICADA CM-700 BIVOLT ."/>
    <s v="CM 700"/>
    <n v="400"/>
    <n v="400"/>
    <n v="0"/>
    <d v="2026-06-15T00:00:00"/>
    <x v="19"/>
    <x v="0"/>
    <m/>
    <n v="30717"/>
    <s v="BYE6A94"/>
    <d v="2026-07-13T00:00:00"/>
  </r>
  <r>
    <x v="3"/>
    <d v="2026-03-26T00:00:00"/>
    <x v="2"/>
    <x v="1"/>
    <s v="030625-0001-01"/>
    <s v="RÓTULO DE IDENTIF CM-700"/>
    <x v="1"/>
    <s v="ROTULO"/>
    <s v="9915-03"/>
    <s v="CAIXA AMPLIFICADA CM-700 BIVOLT ."/>
    <s v="CM 700"/>
    <n v="400"/>
    <n v="400"/>
    <n v="0"/>
    <d v="2026-06-15T00:00:00"/>
    <x v="19"/>
    <x v="0"/>
    <m/>
    <n v="30717"/>
    <s v="BYE6A94"/>
    <d v="2026-07-13T00:00:00"/>
  </r>
  <r>
    <x v="3"/>
    <d v="2026-03-26T00:00:00"/>
    <x v="2"/>
    <x v="1"/>
    <s v="040125-0004-01"/>
    <s v="CX DE EMBALAGEM INDIVIDUAL CM-550"/>
    <x v="0"/>
    <s v="CAIXA INDIVIDUAL"/>
    <s v="2555-05"/>
    <s v="CAIXA AMPLIFICADA CM-550 BIVOLT ."/>
    <s v="CM 550"/>
    <n v="500"/>
    <n v="500"/>
    <n v="0"/>
    <d v="2026-06-25T00:00:00"/>
    <x v="7"/>
    <x v="0"/>
    <m/>
    <n v="30874"/>
    <s v="JXA4382"/>
    <d v="2026-07-25T00:00:00"/>
  </r>
  <r>
    <x v="3"/>
    <d v="2026-03-26T00:00:00"/>
    <x v="2"/>
    <x v="1"/>
    <s v="040125-0030-01"/>
    <s v="CX DE EMBALAGEM INDIVIDUAL CM-550-L"/>
    <x v="0"/>
    <s v="CAIXA INDIVIDUAL"/>
    <s v="8999-01"/>
    <s v="CAIXA AMPLIFICADA CM-550-L BIVOLT ."/>
    <s v="CM 550L"/>
    <n v="500"/>
    <n v="500"/>
    <n v="0"/>
    <d v="2026-05-11T00:00:00"/>
    <x v="4"/>
    <x v="0"/>
    <m/>
    <n v="30303"/>
    <s v="JXU2478"/>
    <d v="2026-06-11T00:00:00"/>
  </r>
  <r>
    <x v="3"/>
    <d v="2026-03-26T00:00:00"/>
    <x v="2"/>
    <x v="1"/>
    <s v="040117-0002-02"/>
    <s v="CX DE EMBALAGEM INDIVIDUAL AWS-BBS-01-B"/>
    <x v="0"/>
    <s v="CAIXA INDIVIDUAL"/>
    <s v="4899-01"/>
    <s v="BOOMBOX AWS-BBS-01-B BIVOLT"/>
    <s v="BBS PRETO"/>
    <n v="900"/>
    <n v="900"/>
    <n v="0"/>
    <d v="2026-06-15T00:00:00"/>
    <x v="19"/>
    <x v="0"/>
    <m/>
    <n v="30717"/>
    <s v="BYE6A94"/>
    <d v="2026-07-13T00:00:00"/>
  </r>
  <r>
    <x v="3"/>
    <d v="2026-03-26T00:00:00"/>
    <x v="2"/>
    <x v="1"/>
    <s v="040117-0005-01"/>
    <s v="CX DE EMBALAGEM INDIVIDUAL AWS-BBS-01-LB"/>
    <x v="0"/>
    <s v="CAIXA INDIVIDUAL"/>
    <s v="9531-01"/>
    <s v="BOOMBOX C/ LUZES AWS-BBS-01-LBL BIVOLT"/>
    <s v="BBS LBL"/>
    <n v="200"/>
    <n v="200"/>
    <n v="0"/>
    <d v="2026-05-11T00:00:00"/>
    <x v="4"/>
    <x v="0"/>
    <m/>
    <n v="30303"/>
    <s v="JXU2478"/>
    <d v="2026-06-11T00:00:00"/>
  </r>
  <r>
    <x v="3"/>
    <d v="2026-03-26T00:00:00"/>
    <x v="2"/>
    <x v="1"/>
    <s v="040125-0018-01"/>
    <s v="CX DE EMBALAGEM INDIVIDUAL CM-150"/>
    <x v="0"/>
    <s v="CAIXA INDIVIDUAL"/>
    <s v="5487-02"/>
    <s v="CAIXA AMPLIFICADA CM-150 BIVOLT ."/>
    <s v="CM150"/>
    <n v="300"/>
    <n v="300"/>
    <n v="0"/>
    <d v="2026-05-11T00:00:00"/>
    <x v="4"/>
    <x v="0"/>
    <m/>
    <n v="30303"/>
    <s v="JXU2478"/>
    <d v="2026-06-11T00:00:00"/>
  </r>
  <r>
    <x v="4"/>
    <d v="2026-04-17T00:00:00"/>
    <x v="3"/>
    <x v="2"/>
    <s v="040722-0001-01"/>
    <s v="FITA PARA EMBALAGEM - AIWA"/>
    <x v="1"/>
    <s v="LACRE"/>
    <s v="5022-01"/>
    <s v="TV 65 GOOGLE INF AWS-TV-65-BL-01-G"/>
    <s v="TV 65"/>
    <n v="12"/>
    <n v="12"/>
    <n v="0"/>
    <d v="2026-04-17T00:00:00"/>
    <x v="8"/>
    <x v="0"/>
    <m/>
    <n v="30098"/>
    <s v="DJF1135"/>
    <d v="2026-05-20T00:00:00"/>
  </r>
  <r>
    <x v="5"/>
    <d v="2026-04-22T00:00:00"/>
    <x v="4"/>
    <x v="0"/>
    <s v="040122-0015-01"/>
    <s v="CX DE EMBALAGEM INDIVIDUAL ANDROID 32"/>
    <x v="0"/>
    <s v="CAIXA INDIVIDUAL"/>
    <s v="8832-01"/>
    <s v="TV 32 ANDROID BORD INF AWS-TV-32-BL-02-A"/>
    <s v="TV 32 ANDROID"/>
    <n v="397"/>
    <n v="397"/>
    <n v="0"/>
    <d v="2026-05-11T00:00:00"/>
    <x v="4"/>
    <x v="0"/>
    <m/>
    <n v="30320"/>
    <s v="JXU2478"/>
    <d v="2026-06-11T00:00:00"/>
  </r>
  <r>
    <x v="5"/>
    <d v="2026-04-22T00:00:00"/>
    <x v="4"/>
    <x v="0"/>
    <s v="040122-0017-01"/>
    <s v="CX DE EMBALAGEM INDIVIDUAL TV50&quot;"/>
    <x v="0"/>
    <s v="CAIXA INDIVIDUAL"/>
    <s v="5026-02"/>
    <s v="TV 50 ANDROID BORD INF AWS-TV-50-BL-02-A"/>
    <s v="TV 50 ANDROID"/>
    <n v="22"/>
    <n v="22"/>
    <n v="0"/>
    <d v="2026-05-11T00:00:00"/>
    <x v="4"/>
    <x v="0"/>
    <m/>
    <n v="30320"/>
    <s v="JXU2478"/>
    <d v="2026-06-11T00:00:00"/>
  </r>
  <r>
    <x v="5"/>
    <d v="2026-04-22T00:00:00"/>
    <x v="4"/>
    <x v="0"/>
    <s v="040122-0018-01"/>
    <s v="CX DE EMBALAGEM INDIVIDUAL TV55&quot; - TEMP"/>
    <x v="0"/>
    <s v="CAIXA INDIVIDUAL"/>
    <s v="5504-02"/>
    <s v="TV 55 ANDROID AWS-TV-55-BL-01"/>
    <s v="TV 55 ANDROID"/>
    <n v="33"/>
    <m/>
    <n v="-33"/>
    <d v="2026-08-18T00:00:00"/>
    <x v="14"/>
    <x v="3"/>
    <s v="Fazer reserva "/>
    <m/>
    <m/>
    <m/>
  </r>
  <r>
    <x v="5"/>
    <d v="2026-04-22T00:00:00"/>
    <x v="4"/>
    <x v="0"/>
    <s v="040122-0018-01"/>
    <s v="CX DE EMBALAGEM INDIVIDUAL TV55&quot; - TEMP"/>
    <x v="0"/>
    <s v="CAIXA INDIVIDUAL"/>
    <s v="5504-02"/>
    <s v="TV 55 ANDROID AWS-TV-55-BL-01"/>
    <s v="TV 55 ANDROID"/>
    <n v="15"/>
    <n v="15"/>
    <n v="0"/>
    <d v="2026-05-11T00:00:00"/>
    <x v="4"/>
    <x v="0"/>
    <m/>
    <n v="30318"/>
    <s v="JXU2478"/>
    <d v="2026-06-11T00:00:00"/>
  </r>
  <r>
    <x v="6"/>
    <d v="2026-05-15T00:00:00"/>
    <x v="2"/>
    <x v="1"/>
    <s v="040122-0018-01"/>
    <s v="CX DE EMBALAGEM INDIVIDUAL TV55&quot; - TEMP"/>
    <x v="0"/>
    <s v="CAIXA INDIVIDUAL"/>
    <s v="5504-02"/>
    <s v="TV 55 ANDROID AWS-TV-55-BL-01"/>
    <s v="TV 55 ANDROID"/>
    <n v="257"/>
    <n v="257"/>
    <n v="0"/>
    <d v="2026-05-11T00:00:00"/>
    <x v="4"/>
    <x v="0"/>
    <m/>
    <n v="30317"/>
    <s v="JXU2478"/>
    <d v="2026-06-11T00:00:00"/>
  </r>
  <r>
    <x v="7"/>
    <d v="2026-05-19T00:00:00"/>
    <x v="5"/>
    <x v="1"/>
    <s v="040117-0002-02"/>
    <s v="CX DE EMBALAGEM INDIVIDUAL AWS-BBS-01-B"/>
    <x v="0"/>
    <s v="CAIXA INDIVIDUAL"/>
    <s v="4899-01"/>
    <s v="BOOMBOX AWS-BBS-01-B BIVOLT"/>
    <s v="BBS PRETO"/>
    <n v="2000"/>
    <n v="2000"/>
    <n v="0"/>
    <d v="2026-05-25T00:00:00"/>
    <x v="20"/>
    <x v="0"/>
    <m/>
    <n v="30456"/>
    <s v="JWT0050"/>
    <d v="2026-06-22T00:00:00"/>
  </r>
  <r>
    <x v="8"/>
    <d v="2026-05-19T00:00:00"/>
    <x v="0"/>
    <x v="0"/>
    <s v="2010-60"/>
    <s v="EMBALAGEM INDIVIDUAL MCO-14"/>
    <x v="0"/>
    <s v="CAIXA INDIVIDUAL"/>
    <s v="0645-01"/>
    <s v="CAIXA AMPLIFICADA MCO-14 BIVOLT ."/>
    <s v="MCO 14"/>
    <n v="150"/>
    <m/>
    <n v="-150"/>
    <s v="TBC"/>
    <x v="2"/>
    <x v="1"/>
    <m/>
    <m/>
    <m/>
    <m/>
  </r>
  <r>
    <x v="8"/>
    <d v="2026-05-19T00:00:00"/>
    <x v="0"/>
    <x v="0"/>
    <s v="2017-70"/>
    <s v="EMBALAGEM COL PARDA MCO-14 ONDA C"/>
    <x v="0"/>
    <s v="CAIXA COLETIVA"/>
    <s v="0645-01"/>
    <s v="CAIXA AMPLIFICADA MCO-14 BIVOLT ."/>
    <s v="MCO 14"/>
    <n v="38"/>
    <m/>
    <n v="-38"/>
    <s v="TBC"/>
    <x v="2"/>
    <x v="1"/>
    <m/>
    <m/>
    <m/>
    <m/>
  </r>
  <r>
    <x v="8"/>
    <d v="2026-05-19T00:00:00"/>
    <x v="0"/>
    <x v="0"/>
    <s v="040125-0010-01"/>
    <s v="CX DE EMBALAGEM INDIVIDUAL CM-400"/>
    <x v="0"/>
    <s v="CAIXA INDIVIDUAL"/>
    <s v="0685-02"/>
    <s v="CAIXA AMPLIFICADA CM-400 BIVOLT ."/>
    <s v="CM 400"/>
    <n v="162"/>
    <m/>
    <n v="-162"/>
    <m/>
    <x v="3"/>
    <x v="2"/>
    <s v="Solicitar compra por e-mail"/>
    <m/>
    <m/>
    <m/>
  </r>
  <r>
    <x v="8"/>
    <d v="2026-05-19T00:00:00"/>
    <x v="0"/>
    <x v="0"/>
    <s v="040125-0012-01"/>
    <s v="CX DE EMBALAGEM INDIVIDUAL CM-400"/>
    <x v="0"/>
    <s v="CAIXA INDIVIDUAL"/>
    <s v="0685-03"/>
    <s v="CAIXA AMPLIFICADA CM-400 BIVOLT ."/>
    <s v="CM400"/>
    <n v="300"/>
    <n v="300"/>
    <n v="0"/>
    <d v="2026-08-06T00:00:00"/>
    <x v="11"/>
    <x v="0"/>
    <s v="NF 01"/>
    <n v="31170"/>
    <s v="JXU2118"/>
    <d v="2026-08-26T00:00:00"/>
  </r>
  <r>
    <x v="8"/>
    <d v="2026-05-19T00:00:00"/>
    <x v="0"/>
    <x v="0"/>
    <s v="040125-0012-01"/>
    <s v="CX DE EMBALAGEM INDIVIDUAL CM-400"/>
    <x v="0"/>
    <s v="CAIXA INDIVIDUAL"/>
    <s v="0685-03"/>
    <s v="CAIXA AMPLIFICADA CM-400 BIVOLT ."/>
    <s v="CM400"/>
    <n v="173"/>
    <n v="173"/>
    <n v="0"/>
    <d v="2026-08-07T00:00:00"/>
    <x v="11"/>
    <x v="0"/>
    <s v="NF 03"/>
    <n v="31172"/>
    <s v="JXI1785"/>
    <d v="2026-08-26T00:00:00"/>
  </r>
  <r>
    <x v="8"/>
    <d v="2026-05-19T00:00:00"/>
    <x v="0"/>
    <x v="0"/>
    <s v="040125-0012-01"/>
    <s v="CX DE EMBALAGEM INDIVIDUAL CM-400"/>
    <x v="0"/>
    <s v="CAIXA INDIVIDUAL"/>
    <s v="0685-03"/>
    <s v="CAIXA AMPLIFICADA CM-400 BIVOLT ."/>
    <s v="CM400"/>
    <n v="300"/>
    <n v="300"/>
    <n v="0"/>
    <d v="2026-08-07T00:00:00"/>
    <x v="11"/>
    <x v="0"/>
    <s v="NF 02"/>
    <n v="31171"/>
    <s v="JMF3A55"/>
    <d v="2026-08-26T00:00:00"/>
  </r>
  <r>
    <x v="8"/>
    <d v="2026-05-19T00:00:00"/>
    <x v="0"/>
    <x v="0"/>
    <s v="040125-0012-01"/>
    <s v="CX DE EMBALAGEM INDIVIDUAL CM-400"/>
    <x v="0"/>
    <s v="CAIXA INDIVIDUAL"/>
    <s v="0685-04"/>
    <s v="CAIXA AMPLIFICADA CM-400 BIVOLT ."/>
    <s v="CM400"/>
    <n v="127"/>
    <n v="127"/>
    <n v="0"/>
    <d v="2026-08-07T00:00:00"/>
    <x v="11"/>
    <x v="0"/>
    <s v="NF 03"/>
    <n v="31172"/>
    <s v="JXI1785"/>
    <d v="2026-08-26T00:00:00"/>
  </r>
  <r>
    <x v="8"/>
    <d v="2026-05-19T00:00:00"/>
    <x v="0"/>
    <x v="0"/>
    <s v="040225-0003-01"/>
    <s v="CX DE EMBALAGEM COLETIVA CM-250"/>
    <x v="0"/>
    <s v="CAIXA COLETIVA"/>
    <s v="2108-02"/>
    <s v="CAIXA AMPLIFICADA CM-250 BIVOLT ."/>
    <s v="CM 250"/>
    <n v="7"/>
    <m/>
    <n v="-7"/>
    <m/>
    <x v="3"/>
    <x v="2"/>
    <s v="Solicitar compra por e-mail"/>
    <m/>
    <m/>
    <m/>
  </r>
  <r>
    <x v="8"/>
    <d v="2026-05-19T00:00:00"/>
    <x v="0"/>
    <x v="0"/>
    <s v="040225-0003-01"/>
    <s v="CX DE EMBALAGEM COLETIVA CM-250"/>
    <x v="0"/>
    <s v="CAIXA COLETIVA"/>
    <s v="2108-02"/>
    <s v="CAIXA AMPLIFICADA CM-250 BIVOLT ."/>
    <s v="CM 250"/>
    <n v="29"/>
    <m/>
    <n v="-29"/>
    <m/>
    <x v="3"/>
    <x v="2"/>
    <s v="Solicitar compra por e-mail"/>
    <m/>
    <m/>
    <m/>
  </r>
  <r>
    <x v="8"/>
    <d v="2026-05-19T00:00:00"/>
    <x v="0"/>
    <x v="0"/>
    <s v="040125-0007-01"/>
    <s v="CX DE EMBALAGEM INDIVIDUAL CM-250"/>
    <x v="0"/>
    <s v="CAIXA INDIVIDUAL"/>
    <s v="2108-03"/>
    <s v="CAIXA AMPLIFICADA CM-250 BIVOLT ."/>
    <s v="CM 250"/>
    <n v="511"/>
    <n v="551"/>
    <n v="40"/>
    <d v="2026-07-29T00:00:00"/>
    <x v="21"/>
    <x v="0"/>
    <s v="NF 07"/>
    <n v="31205"/>
    <s v="JXA5412"/>
    <d v="2026-08-28T00:00:00"/>
  </r>
  <r>
    <x v="8"/>
    <d v="2026-05-19T00:00:00"/>
    <x v="0"/>
    <x v="0"/>
    <s v="040225-0003-01"/>
    <s v="CX DE EMBALAGEM COLETIVA CM-250"/>
    <x v="0"/>
    <s v="CAIXA COLETIVA"/>
    <s v="2108-03"/>
    <s v="CAIXA AMPLIFICADA CM-250 BIVOLT ."/>
    <s v="CM 250"/>
    <n v="128"/>
    <m/>
    <n v="-128"/>
    <m/>
    <x v="3"/>
    <x v="2"/>
    <s v="Solicitar compra por e-mail"/>
    <m/>
    <m/>
    <m/>
  </r>
  <r>
    <x v="8"/>
    <d v="2026-05-19T00:00:00"/>
    <x v="0"/>
    <x v="0"/>
    <s v="030625-0009-01"/>
    <s v="RÓTULO DE IDENTIF TM-2200"/>
    <x v="1"/>
    <s v="ROTULO"/>
    <s v="2501-01"/>
    <s v="TORRE DE SOM TM2200 BIV"/>
    <s v="TM2200"/>
    <n v="12"/>
    <m/>
    <n v="-12"/>
    <d v="2026-07-29T00:00:00"/>
    <x v="14"/>
    <x v="3"/>
    <s v="Fazer reserva "/>
    <m/>
    <m/>
    <m/>
  </r>
  <r>
    <x v="8"/>
    <d v="2026-05-19T00:00:00"/>
    <x v="0"/>
    <x v="0"/>
    <s v="040125-0028-01"/>
    <s v="CX DE EMBALAGEM INDIVIDUAL TM-2200"/>
    <x v="0"/>
    <s v="CAIXA INDIVIDUAL"/>
    <s v="2501-01"/>
    <s v="TORRE DE SOM TM2200 BIV"/>
    <s v="TM2200"/>
    <n v="6"/>
    <m/>
    <n v="-6"/>
    <d v="2026-07-29T00:00:00"/>
    <x v="14"/>
    <x v="3"/>
    <s v="Fazer reserva "/>
    <m/>
    <m/>
    <m/>
  </r>
  <r>
    <x v="8"/>
    <d v="2026-05-19T00:00:00"/>
    <x v="0"/>
    <x v="0"/>
    <s v="040125-0014-01"/>
    <s v="CX DE EMBALAGEM INDIVIDUAL CM-550"/>
    <x v="0"/>
    <s v="CAIXA INDIVIDUAL"/>
    <s v="2555-01"/>
    <s v="CAIXA AMPLIFICADA CM-550 BIVOLT ."/>
    <s v="CM 550"/>
    <n v="357"/>
    <n v="357"/>
    <n v="0"/>
    <d v="2026-06-25T00:00:00"/>
    <x v="7"/>
    <x v="0"/>
    <m/>
    <n v="30873"/>
    <s v="JXA4382"/>
    <d v="2026-07-25T00:00:00"/>
  </r>
  <r>
    <x v="8"/>
    <d v="2026-05-19T00:00:00"/>
    <x v="0"/>
    <x v="0"/>
    <s v="040125-0014-01"/>
    <s v="CX DE EMBALAGEM INDIVIDUAL CM-550"/>
    <x v="0"/>
    <s v="CAIXA INDIVIDUAL"/>
    <s v="2555-03"/>
    <s v="CAIXA AMPLIFICADA CM-550 BIVOLT ."/>
    <s v="CM 550"/>
    <n v="2"/>
    <n v="2"/>
    <n v="0"/>
    <d v="2026-06-25T00:00:00"/>
    <x v="7"/>
    <x v="0"/>
    <m/>
    <n v="30873"/>
    <s v="JXA4382"/>
    <d v="2026-07-25T00:00:00"/>
  </r>
  <r>
    <x v="8"/>
    <d v="2026-05-19T00:00:00"/>
    <x v="0"/>
    <x v="0"/>
    <s v="040125-0014-01"/>
    <s v="CX DE EMBALAGEM INDIVIDUAL CM-550"/>
    <x v="0"/>
    <s v="CAIXA INDIVIDUAL"/>
    <s v="2555-04"/>
    <s v="CAIXA AMPLIFICADA CM-550 BIVOLT ."/>
    <s v="CM 550"/>
    <n v="13"/>
    <n v="13"/>
    <n v="0"/>
    <d v="2026-06-25T00:00:00"/>
    <x v="7"/>
    <x v="0"/>
    <m/>
    <n v="30873"/>
    <s v="JXA4382"/>
    <d v="2026-07-25T00:00:00"/>
  </r>
  <r>
    <x v="8"/>
    <d v="2026-05-19T00:00:00"/>
    <x v="0"/>
    <x v="0"/>
    <s v="040125-0014-01"/>
    <s v="CX DE EMBALAGEM INDIVIDUAL CM-550"/>
    <x v="0"/>
    <s v="CAIXA INDIVIDUAL"/>
    <s v="2555-05"/>
    <s v="CAIXA AMPLIFICADA CM-550 BIVOLT ."/>
    <s v="CM 550"/>
    <n v="736"/>
    <n v="736"/>
    <n v="0"/>
    <d v="2026-06-25T00:00:00"/>
    <x v="7"/>
    <x v="0"/>
    <m/>
    <n v="30873"/>
    <s v="JXA4382"/>
    <d v="2026-07-25T00:00:00"/>
  </r>
  <r>
    <x v="8"/>
    <d v="2026-05-19T00:00:00"/>
    <x v="0"/>
    <x v="0"/>
    <s v="040125-0014-01"/>
    <s v="CX DE EMBALAGEM INDIVIDUAL CM-550"/>
    <x v="0"/>
    <s v="CAIXA INDIVIDUAL"/>
    <s v="2555-05"/>
    <s v="CAIXA AMPLIFICADA CM-550 BIVOLT ."/>
    <s v="CM 550"/>
    <n v="130"/>
    <n v="130"/>
    <n v="0"/>
    <d v="2026-06-25T00:00:00"/>
    <x v="7"/>
    <x v="0"/>
    <m/>
    <n v="30873"/>
    <s v="JXA4382"/>
    <d v="2026-07-25T00:00:00"/>
  </r>
  <r>
    <x v="8"/>
    <d v="2026-05-19T00:00:00"/>
    <x v="0"/>
    <x v="0"/>
    <s v="040125-0014-01"/>
    <s v="CX DE EMBALAGEM INDIVIDUAL CM-550"/>
    <x v="0"/>
    <s v="CAIXA INDIVIDUAL"/>
    <s v="2555-05"/>
    <s v="CAIXA AMPLIFICADA CM-550 BIVOLT ."/>
    <s v="CM 550"/>
    <n v="70"/>
    <m/>
    <n v="-70"/>
    <m/>
    <x v="3"/>
    <x v="2"/>
    <s v="Solicitar compra por e-mail"/>
    <m/>
    <m/>
    <m/>
  </r>
  <r>
    <x v="8"/>
    <d v="2026-05-19T00:00:00"/>
    <x v="0"/>
    <x v="0"/>
    <s v="040122-0002-01"/>
    <s v="CX DE EMBALAGEM INDIVIDUAL TV43&quot;"/>
    <x v="0"/>
    <s v="CAIXA INDIVIDUAL"/>
    <s v="4302-01"/>
    <s v="TV 43 SMART AWS-TV-43-BL-01"/>
    <s v="TV 43 BL "/>
    <n v="1"/>
    <m/>
    <n v="-1"/>
    <s v="TBC"/>
    <x v="2"/>
    <x v="1"/>
    <m/>
    <m/>
    <m/>
    <m/>
  </r>
  <r>
    <x v="8"/>
    <d v="2026-05-19T00:00:00"/>
    <x v="0"/>
    <x v="0"/>
    <s v="040117-0002-02"/>
    <s v="CX DE EMBALAGEM INDIVIDUAL AWS-BBS-01-B"/>
    <x v="0"/>
    <s v="CAIXA INDIVIDUAL"/>
    <s v="4899-01"/>
    <s v="BOOMBOX AWS-BBS-01-B BIVOLT"/>
    <s v="BBS PRETO"/>
    <n v="150"/>
    <n v="150"/>
    <n v="0"/>
    <d v="2026-08-07T00:00:00"/>
    <x v="21"/>
    <x v="0"/>
    <s v="NF 05"/>
    <n v="31194"/>
    <s v="JXA5412"/>
    <d v="2026-08-28T00:00:00"/>
  </r>
  <r>
    <x v="8"/>
    <d v="2026-05-19T00:00:00"/>
    <x v="0"/>
    <x v="0"/>
    <s v="040122-0017-01"/>
    <s v="CX DE EMBALAGEM INDIVIDUAL TV50&quot;"/>
    <x v="0"/>
    <s v="CAIXA INDIVIDUAL"/>
    <s v="5026-02"/>
    <s v="TV 50 ANDROID BORD INF AWS-TV-50-BL-02-A"/>
    <s v="TV 50 ANDROID"/>
    <n v="99"/>
    <m/>
    <n v="-99"/>
    <m/>
    <x v="14"/>
    <x v="3"/>
    <s v="Trazer supplog-Solicitado"/>
    <m/>
    <m/>
    <m/>
  </r>
  <r>
    <x v="8"/>
    <d v="2026-05-19T00:00:00"/>
    <x v="0"/>
    <x v="0"/>
    <s v="040122-0017-01"/>
    <s v="CX DE EMBALAGEM INDIVIDUAL TV50&quot;"/>
    <x v="0"/>
    <s v="CAIXA INDIVIDUAL"/>
    <s v="5026-02"/>
    <s v="TV 50 ANDROID BORD INF AWS-TV-50-BL-02-A"/>
    <s v="TV 50 ANDROID"/>
    <n v="793"/>
    <m/>
    <n v="-793"/>
    <m/>
    <x v="14"/>
    <x v="3"/>
    <s v="Trazer supplog-Solicitado"/>
    <m/>
    <m/>
    <m/>
  </r>
  <r>
    <x v="8"/>
    <d v="2026-05-19T00:00:00"/>
    <x v="0"/>
    <x v="0"/>
    <s v="030625-0005-01"/>
    <s v="ROTULO DE IDENTIFICAÇAO T1W"/>
    <x v="1"/>
    <s v="ROTULO"/>
    <s v="5116-01"/>
    <s v="TORRE DE SOM AWS-T1W-02 BIVOLT BLUETOOTH"/>
    <s v="T1W"/>
    <n v="60"/>
    <m/>
    <n v="-60"/>
    <m/>
    <x v="14"/>
    <x v="3"/>
    <s v="Fazer reserva "/>
    <m/>
    <m/>
    <m/>
  </r>
  <r>
    <x v="8"/>
    <d v="2026-05-19T00:00:00"/>
    <x v="0"/>
    <x v="0"/>
    <s v="040125-0023-01"/>
    <s v="CX DE EMBALAGEM INDIVIDUAL T1W"/>
    <x v="0"/>
    <s v="CAIXA INDIVIDUAL"/>
    <s v="5116-01"/>
    <s v="TORRE DE SOM AWS-T1W-02 BIVOLT BLUETOOTH"/>
    <s v="T1W"/>
    <n v="30"/>
    <m/>
    <n v="-30"/>
    <m/>
    <x v="14"/>
    <x v="3"/>
    <s v="Fazer reserva "/>
    <m/>
    <m/>
    <m/>
  </r>
  <r>
    <x v="8"/>
    <d v="2026-05-19T00:00:00"/>
    <x v="0"/>
    <x v="0"/>
    <s v="040125-0018-01"/>
    <s v="CX DE EMBALAGEM INDIVIDUAL CM-150"/>
    <x v="0"/>
    <s v="CAIXA INDIVIDUAL"/>
    <s v="5487-01"/>
    <s v="CAIXA AMPLIFICADA CM-150 BIVOLT ."/>
    <s v="CM150"/>
    <n v="62"/>
    <n v="62"/>
    <n v="0"/>
    <d v="2026-07-29T00:00:00"/>
    <x v="21"/>
    <x v="0"/>
    <s v="NF 07"/>
    <n v="31205"/>
    <s v="JXA5412"/>
    <d v="2026-08-28T00:00:00"/>
  </r>
  <r>
    <x v="8"/>
    <d v="2026-05-19T00:00:00"/>
    <x v="0"/>
    <x v="0"/>
    <s v="040125-0018-01"/>
    <s v="CX DE EMBALAGEM INDIVIDUAL CM-150"/>
    <x v="0"/>
    <s v="CAIXA INDIVIDUAL"/>
    <s v="5487-01"/>
    <s v="CAIXA AMPLIFICADA CM-150 BIVOLT ."/>
    <s v="CM150"/>
    <n v="159"/>
    <n v="159"/>
    <n v="0"/>
    <d v="2026-07-29T00:00:00"/>
    <x v="21"/>
    <x v="0"/>
    <s v="NF 07"/>
    <n v="31205"/>
    <s v="JXA5412"/>
    <d v="2026-08-28T00:00:00"/>
  </r>
  <r>
    <x v="8"/>
    <d v="2026-05-19T00:00:00"/>
    <x v="0"/>
    <x v="0"/>
    <s v="040125-0018-01"/>
    <s v="CX DE EMBALAGEM INDIVIDUAL CM-150"/>
    <x v="0"/>
    <s v="CAIXA INDIVIDUAL"/>
    <s v="5487-02"/>
    <s v="CAIXA AMPLIFICADA CM-150 BIVOLT ."/>
    <s v="CM150"/>
    <n v="767"/>
    <n v="767"/>
    <n v="0"/>
    <d v="2026-07-29T00:00:00"/>
    <x v="21"/>
    <x v="0"/>
    <s v="NF 07"/>
    <n v="31205"/>
    <s v="JXA5412"/>
    <d v="2026-08-28T00:00:00"/>
  </r>
  <r>
    <x v="8"/>
    <d v="2026-05-19T00:00:00"/>
    <x v="0"/>
    <x v="0"/>
    <s v="040125-0018-01"/>
    <s v="CX DE EMBALAGEM INDIVIDUAL CM-150"/>
    <x v="0"/>
    <s v="CAIXA INDIVIDUAL"/>
    <s v="5487-02"/>
    <s v="CAIXA AMPLIFICADA CM-150 BIVOLT ."/>
    <s v="CM150"/>
    <n v="82"/>
    <n v="199"/>
    <n v="117"/>
    <d v="2026-07-29T00:00:00"/>
    <x v="21"/>
    <x v="0"/>
    <s v="NF 07"/>
    <n v="31205"/>
    <s v="JXA5412"/>
    <d v="2026-08-28T00:00:00"/>
  </r>
  <r>
    <x v="8"/>
    <d v="2026-05-19T00:00:00"/>
    <x v="0"/>
    <x v="0"/>
    <s v="040122-0018-01"/>
    <s v="CX DE EMBALAGEM INDIVIDUAL TV55&quot; - TEMP"/>
    <x v="0"/>
    <s v="CAIXA INDIVIDUAL"/>
    <s v="5504-02"/>
    <s v="TV 55 ANDROID AWS-TV-55-BL-01"/>
    <s v="TV 55 ANDROID"/>
    <n v="116"/>
    <m/>
    <n v="-116"/>
    <d v="2026-08-18T00:00:00"/>
    <x v="14"/>
    <x v="3"/>
    <s v="Fazer reserva "/>
    <m/>
    <m/>
    <m/>
  </r>
  <r>
    <x v="8"/>
    <d v="2026-05-19T00:00:00"/>
    <x v="0"/>
    <x v="0"/>
    <s v="040323-0001-01"/>
    <s v="CALÇO DE EPS INFERIOR 21L 480X385X150MM"/>
    <x v="1"/>
    <s v="CALÇO"/>
    <s v="5615-02"/>
    <s v="MICRO-ONDAS MO-01-21-B 220V/60HZ ."/>
    <s v="MO 21L"/>
    <n v="408"/>
    <m/>
    <n v="-408"/>
    <d v="2026-08-31T00:00:00"/>
    <x v="22"/>
    <x v="3"/>
    <s v="Entrega direto na expedição"/>
    <m/>
    <m/>
    <m/>
  </r>
  <r>
    <x v="8"/>
    <d v="2026-05-19T00:00:00"/>
    <x v="0"/>
    <x v="0"/>
    <s v="040323-0001-01"/>
    <s v="CALÇO DE EPS INFERIOR 21L 480X385X150MM"/>
    <x v="1"/>
    <s v="CALÇO"/>
    <s v="5615-03"/>
    <s v="MICRO-ONDAS MO-01-21-B 127V/60HZ"/>
    <s v="MO 21L"/>
    <n v="152"/>
    <m/>
    <n v="-152"/>
    <d v="2026-08-31T00:00:00"/>
    <x v="22"/>
    <x v="3"/>
    <s v="Entrega direto na expedição"/>
    <m/>
    <m/>
    <m/>
  </r>
  <r>
    <x v="8"/>
    <d v="2026-05-19T00:00:00"/>
    <x v="0"/>
    <x v="0"/>
    <s v="040323-0001-01"/>
    <s v="CALÇO DE EPS INFERIOR 21L 480X385X150MM"/>
    <x v="1"/>
    <s v="CALÇO"/>
    <s v="5615-04"/>
    <s v="MICRO-ONDAS MO-01-21-B 220V/60HZ ."/>
    <s v="MO 21L"/>
    <n v="165"/>
    <m/>
    <n v="-165"/>
    <d v="2026-08-31T00:00:00"/>
    <x v="22"/>
    <x v="3"/>
    <s v="Entrega direto na expedição"/>
    <m/>
    <m/>
    <m/>
  </r>
  <r>
    <x v="8"/>
    <d v="2026-05-19T00:00:00"/>
    <x v="0"/>
    <x v="0"/>
    <s v="040323-0001-01"/>
    <s v="CALÇO DE EPS INFERIOR 21L 480X385X150MM"/>
    <x v="1"/>
    <s v="CALÇO"/>
    <s v="5615-04"/>
    <s v="MICRO-ONDAS MO-01-21-B 220V/60HZ ."/>
    <s v="MO 21L"/>
    <n v="263"/>
    <m/>
    <n v="-263"/>
    <d v="2026-08-31T00:00:00"/>
    <x v="22"/>
    <x v="3"/>
    <s v="Entrega direto na expedição"/>
    <m/>
    <m/>
    <m/>
  </r>
  <r>
    <x v="8"/>
    <d v="2026-05-19T00:00:00"/>
    <x v="0"/>
    <x v="0"/>
    <s v="040323-0001-01"/>
    <s v="CALÇO DE EPS INFERIOR 21L 480X385X150MM"/>
    <x v="1"/>
    <s v="CALÇO"/>
    <s v="5616-03"/>
    <s v="MICRO-ONDAS MO-01-21-W 127V/60HZ ."/>
    <s v="MO 21L"/>
    <n v="9"/>
    <m/>
    <n v="-9"/>
    <d v="2026-08-31T00:00:00"/>
    <x v="22"/>
    <x v="3"/>
    <s v="Entrega direto na expedição"/>
    <m/>
    <m/>
    <m/>
  </r>
  <r>
    <x v="8"/>
    <d v="2026-05-19T00:00:00"/>
    <x v="0"/>
    <x v="0"/>
    <s v="040323-0001-01"/>
    <s v="CALÇO DE EPS INFERIOR 21L 480X385X150MM"/>
    <x v="1"/>
    <s v="CALÇO"/>
    <s v="5616-04"/>
    <s v="MICRO-ONDAS MO-01-21-W 220V/60HZ"/>
    <s v="MO 21L"/>
    <n v="110"/>
    <m/>
    <n v="-110"/>
    <d v="2026-08-31T00:00:00"/>
    <x v="22"/>
    <x v="3"/>
    <s v="Entrega direto na expedição"/>
    <m/>
    <m/>
    <m/>
  </r>
  <r>
    <x v="8"/>
    <d v="2026-05-19T00:00:00"/>
    <x v="0"/>
    <x v="0"/>
    <s v="040323-0006-01"/>
    <s v="CALÇO DE EPS INFERIOR 34L "/>
    <x v="1"/>
    <s v="CALÇO"/>
    <s v="5617-02"/>
    <s v="MICRO-ONDAS MO-02-34-W 220V/60HZ ."/>
    <s v="MO 34L"/>
    <n v="26"/>
    <n v="26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3-01"/>
    <s v="CALÇO DE EPS SUPERIOR 21L 480X385X150MM"/>
    <x v="1"/>
    <s v="CALÇO"/>
    <s v="5615-02"/>
    <s v="MICRO-ONDAS MO-01-21-B 220V/60HZ ."/>
    <s v="MO 21L"/>
    <n v="408"/>
    <m/>
    <n v="-408"/>
    <d v="2026-08-31T00:00:00"/>
    <x v="22"/>
    <x v="3"/>
    <s v="Entrega direto na expedição"/>
    <m/>
    <m/>
    <m/>
  </r>
  <r>
    <x v="8"/>
    <d v="2026-05-19T00:00:00"/>
    <x v="0"/>
    <x v="0"/>
    <s v="040323-0003-01"/>
    <s v="CALÇO DE EPS SUPERIOR 21L 480X385X150MM"/>
    <x v="1"/>
    <s v="CALÇO"/>
    <s v="5615-03"/>
    <s v="MICRO-ONDAS MO-01-21-B 127V/60HZ"/>
    <s v="MO 21L"/>
    <n v="152"/>
    <m/>
    <n v="-152"/>
    <d v="2026-08-31T00:00:00"/>
    <x v="22"/>
    <x v="3"/>
    <s v="Entrega direto na expedição"/>
    <m/>
    <m/>
    <m/>
  </r>
  <r>
    <x v="8"/>
    <d v="2026-05-19T00:00:00"/>
    <x v="0"/>
    <x v="0"/>
    <s v="040323-0003-01"/>
    <s v="CALÇO DE EPS SUPERIOR 21L 480X385X150MM"/>
    <x v="1"/>
    <s v="CALÇO"/>
    <s v="5615-04"/>
    <s v="MICRO-ONDAS MO-01-21-B 220V/60HZ ."/>
    <s v="MO 21L"/>
    <n v="165"/>
    <m/>
    <n v="-165"/>
    <d v="2026-08-31T00:00:00"/>
    <x v="22"/>
    <x v="3"/>
    <s v="Entrega direto na expedição"/>
    <m/>
    <m/>
    <m/>
  </r>
  <r>
    <x v="8"/>
    <d v="2026-05-19T00:00:00"/>
    <x v="0"/>
    <x v="0"/>
    <s v="040323-0003-01"/>
    <s v="CALÇO DE EPS SUPERIOR 21L 480X385X150MM"/>
    <x v="1"/>
    <s v="CALÇO"/>
    <s v="5615-04"/>
    <s v="MICRO-ONDAS MO-01-21-B 220V/60HZ ."/>
    <s v="MO 21L"/>
    <n v="263"/>
    <m/>
    <n v="-263"/>
    <d v="2026-08-31T00:00:00"/>
    <x v="22"/>
    <x v="3"/>
    <s v="Entrega direto na expedição"/>
    <m/>
    <m/>
    <m/>
  </r>
  <r>
    <x v="8"/>
    <d v="2026-05-19T00:00:00"/>
    <x v="0"/>
    <x v="0"/>
    <s v="040323-0003-01"/>
    <s v="CALÇO DE EPS SUPERIOR 21L 480X385X150MM"/>
    <x v="1"/>
    <s v="CALÇO"/>
    <s v="5616-03"/>
    <s v="MICRO-ONDAS MO-01-21-W 127V/60HZ ."/>
    <s v="MO 21L"/>
    <n v="9"/>
    <m/>
    <n v="-9"/>
    <d v="2026-08-31T00:00:00"/>
    <x v="22"/>
    <x v="3"/>
    <s v="Entrega direto na expedição"/>
    <m/>
    <m/>
    <m/>
  </r>
  <r>
    <x v="8"/>
    <d v="2026-05-19T00:00:00"/>
    <x v="0"/>
    <x v="0"/>
    <s v="040323-0003-01"/>
    <s v="CALÇO DE EPS SUPERIOR 21L 480X385X150MM"/>
    <x v="1"/>
    <s v="CALÇO"/>
    <s v="5616-04"/>
    <s v="MICRO-ONDAS MO-01-21-W 220V/60HZ"/>
    <s v="MO 21L"/>
    <n v="110"/>
    <m/>
    <n v="-110"/>
    <d v="2026-08-31T00:00:00"/>
    <x v="22"/>
    <x v="3"/>
    <s v="Entrega direto na expedição"/>
    <m/>
    <m/>
    <m/>
  </r>
  <r>
    <x v="8"/>
    <d v="2026-05-19T00:00:00"/>
    <x v="0"/>
    <x v="0"/>
    <s v="040323-0005-01"/>
    <s v="CALÇO DE EPS SUPERIOR 34L "/>
    <x v="1"/>
    <s v="CALÇO"/>
    <s v="5617-02"/>
    <s v="MICRO-ONDAS MO-02-34-W 220V/60HZ ."/>
    <s v="MO 34L"/>
    <n v="26"/>
    <n v="26"/>
    <n v="0"/>
    <d v="2026-08-06T00:00:00"/>
    <x v="11"/>
    <x v="0"/>
    <s v="NF 01"/>
    <n v="31170"/>
    <s v="JXU2118"/>
    <d v="2026-08-26T00:00:00"/>
  </r>
  <r>
    <x v="8"/>
    <d v="2026-05-19T00:00:00"/>
    <x v="0"/>
    <x v="0"/>
    <s v="030623-0001-02"/>
    <s v="RÓTULO DE IDENTIF BLACK 21L 450X250MM"/>
    <x v="1"/>
    <s v="ROTULO"/>
    <s v="5615-02"/>
    <s v="MICRO-ONDAS MO-01-21-B 220V/60HZ ."/>
    <s v="MO 21L"/>
    <n v="408"/>
    <n v="660"/>
    <n v="252"/>
    <d v="2026-08-18T00:00:00"/>
    <x v="18"/>
    <x v="0"/>
    <s v="NF 12"/>
    <n v="31244"/>
    <s v="BSF6536"/>
    <d v="2026-09-04T00:00:00"/>
  </r>
  <r>
    <x v="8"/>
    <d v="2026-05-19T00:00:00"/>
    <x v="0"/>
    <x v="0"/>
    <s v="030623-0006-01"/>
    <s v="RÓTULO DE IDENTIF BLACK 21L 450X250MM"/>
    <x v="1"/>
    <s v="ROTULO"/>
    <s v="5615-03"/>
    <s v="MICRO-ONDAS MO-01-21-B 127V/60HZ"/>
    <s v="MO 21L"/>
    <n v="152"/>
    <n v="152"/>
    <n v="0"/>
    <d v="2026-08-07T00:00:00"/>
    <x v="21"/>
    <x v="0"/>
    <s v="NF 05"/>
    <n v="31194"/>
    <s v="JXA5412"/>
    <d v="2026-08-28T00:00:00"/>
  </r>
  <r>
    <x v="8"/>
    <d v="2026-05-19T00:00:00"/>
    <x v="0"/>
    <x v="0"/>
    <s v="030623-0006-01"/>
    <s v="RÓTULO DE IDENTIF BLACK 21L 450X250MM"/>
    <x v="1"/>
    <s v="ROTULO"/>
    <s v="5615-04"/>
    <s v="MICRO-ONDAS MO-01-21-B 220V/60HZ ."/>
    <s v="MO 21L"/>
    <n v="165"/>
    <n v="165"/>
    <n v="0"/>
    <d v="2026-08-07T00:00:00"/>
    <x v="21"/>
    <x v="0"/>
    <s v="NF 05"/>
    <n v="31194"/>
    <s v="JXA5412"/>
    <d v="2026-08-28T00:00:00"/>
  </r>
  <r>
    <x v="8"/>
    <d v="2026-05-19T00:00:00"/>
    <x v="0"/>
    <x v="0"/>
    <s v="030623-0006-01"/>
    <s v="RÓTULO DE IDENTIF BLACK 21L 450X250MM"/>
    <x v="1"/>
    <s v="ROTULO"/>
    <s v="5615-04"/>
    <s v="MICRO-ONDAS MO-01-21-B 220V/60HZ ."/>
    <s v="MO 21L"/>
    <n v="263"/>
    <n v="263"/>
    <n v="0"/>
    <d v="2026-08-07T00:00:00"/>
    <x v="21"/>
    <x v="0"/>
    <s v="NF 05"/>
    <n v="31194"/>
    <s v="JXA5412"/>
    <d v="2026-08-28T00:00:00"/>
  </r>
  <r>
    <x v="8"/>
    <d v="2026-05-19T00:00:00"/>
    <x v="0"/>
    <x v="0"/>
    <s v="030623-0007-01"/>
    <s v="RÓTULO DE IDENTIF WHITE 21L 450X250MM"/>
    <x v="1"/>
    <s v="ROTULO"/>
    <s v="5616-03"/>
    <s v="MICRO-ONDAS MO-01-21-W 127V/60HZ ."/>
    <s v="MO 21L"/>
    <n v="9"/>
    <m/>
    <n v="-9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07-01"/>
    <s v="RÓTULO DE IDENTIF WHITE 21L 450X250MM"/>
    <x v="1"/>
    <s v="ROTULO"/>
    <s v="5616-04"/>
    <s v="MICRO-ONDAS MO-01-21-W 220V/60HZ"/>
    <s v="MO 21L"/>
    <n v="110"/>
    <m/>
    <n v="-110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04-01"/>
    <s v="RÓTULO DE IDENTIF WHITE 34L 530X285MM"/>
    <x v="1"/>
    <s v="ROTULO"/>
    <s v="5617-02"/>
    <s v="MICRO-ONDAS MO-02-34-W 220V/60HZ ."/>
    <s v="MO 34L"/>
    <n v="26"/>
    <m/>
    <n v="-26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40323-0006-01"/>
    <s v="CALÇO DE EPS INFERIOR 34L "/>
    <x v="1"/>
    <s v="CALÇO"/>
    <s v="5617-04"/>
    <s v="MICRO-ONDAS MO-02-34-W 220V/60HZ ."/>
    <s v="MO 34L"/>
    <n v="81"/>
    <n v="81"/>
    <n v="0"/>
    <d v="2026-08-07T00:00:00"/>
    <x v="11"/>
    <x v="0"/>
    <s v="NF 04"/>
    <n v="31173"/>
    <s v="JWF8303"/>
    <d v="2026-08-26T00:00:00"/>
  </r>
  <r>
    <x v="8"/>
    <d v="2026-05-19T00:00:00"/>
    <x v="0"/>
    <x v="0"/>
    <s v="040323-0006-01"/>
    <s v="CALÇO DE EPS INFERIOR 34L "/>
    <x v="1"/>
    <s v="CALÇO"/>
    <s v="5618-01"/>
    <s v="MICRO-ONDAS MO-02-34-E 127V/60HZ ."/>
    <s v="MO 34L"/>
    <n v="48"/>
    <n v="48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6-01"/>
    <s v="CALÇO DE EPS INFERIOR 34L "/>
    <x v="1"/>
    <s v="CALÇO"/>
    <s v="5618-02"/>
    <s v="MICRO-ONDAS MO-02-34-E 220V/60HZ ."/>
    <s v="MO 34L"/>
    <n v="16"/>
    <n v="16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6-01"/>
    <s v="CALÇO DE EPS INFERIOR 34L "/>
    <x v="1"/>
    <s v="CALÇO"/>
    <s v="5618-03"/>
    <s v="MICRO-ONDAS MO-02-34-E 127V/60HZ ."/>
    <s v="MO 34L"/>
    <n v="65"/>
    <n v="65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6-01"/>
    <s v="CALÇO DE EPS INFERIOR 34L "/>
    <x v="1"/>
    <s v="CALÇO"/>
    <s v="5618-04"/>
    <s v="MICRO-ONDAS MO-02-34-E 220V/60HZ ."/>
    <s v="MO 34L"/>
    <n v="105"/>
    <n v="105"/>
    <n v="0"/>
    <d v="2026-08-07T00:00:00"/>
    <x v="11"/>
    <x v="0"/>
    <s v="NF 04"/>
    <n v="31173"/>
    <s v="JWF8303"/>
    <d v="2026-08-26T00:00:00"/>
  </r>
  <r>
    <x v="8"/>
    <d v="2026-05-19T00:00:00"/>
    <x v="0"/>
    <x v="0"/>
    <s v="040323-0006-01"/>
    <s v="CALÇO DE EPS INFERIOR 34L "/>
    <x v="1"/>
    <s v="CALÇO"/>
    <s v="5618-04"/>
    <s v="MICRO-ONDAS MO-02-34-E 220V/60HZ ."/>
    <s v="MO 34L"/>
    <n v="157"/>
    <n v="157"/>
    <n v="0"/>
    <d v="2026-08-07T00:00:00"/>
    <x v="11"/>
    <x v="0"/>
    <s v="NF 04"/>
    <n v="31173"/>
    <s v="JWF8303"/>
    <d v="2026-08-26T00:00:00"/>
  </r>
  <r>
    <x v="8"/>
    <d v="2026-05-19T00:00:00"/>
    <x v="0"/>
    <x v="0"/>
    <s v="040323-0001-01"/>
    <s v="CALÇO DE EPS INFERIOR 21L 480X385X150MM"/>
    <x v="1"/>
    <s v="CALÇO"/>
    <s v="5619-01"/>
    <s v="MICRO-ONDAS MO-01-21-E 127V/60HZ"/>
    <s v="MO 21L"/>
    <n v="364"/>
    <m/>
    <n v="-364"/>
    <d v="2026-08-31T00:00:00"/>
    <x v="22"/>
    <x v="3"/>
    <s v="Entrega direto na expedição"/>
    <m/>
    <m/>
    <m/>
  </r>
  <r>
    <x v="8"/>
    <d v="2026-05-19T00:00:00"/>
    <x v="0"/>
    <x v="0"/>
    <s v="040323-0003-01"/>
    <s v="CALÇO DE EPS SUPERIOR 21L 480X385X150MM"/>
    <x v="1"/>
    <s v="CALÇO"/>
    <s v="5619-02"/>
    <s v="MICRO-ONDAS MO-01-21-E 220V/60HZ"/>
    <s v="MO 21L"/>
    <n v="1"/>
    <m/>
    <n v="-1"/>
    <d v="2026-08-31T00:00:00"/>
    <x v="22"/>
    <x v="3"/>
    <s v="Entrega direto na expedição"/>
    <m/>
    <m/>
    <m/>
  </r>
  <r>
    <x v="8"/>
    <d v="2026-05-19T00:00:00"/>
    <x v="0"/>
    <x v="0"/>
    <s v="040323-0006-01"/>
    <s v="CALÇO DE EPS INFERIOR 34L "/>
    <x v="1"/>
    <s v="CALÇO"/>
    <s v="5774-01"/>
    <s v="MICRO-ONDAS MO-02-34-B 127V/60HZ ."/>
    <s v="MO 34L"/>
    <n v="5"/>
    <n v="5"/>
    <n v="0"/>
    <d v="2026-08-07T00:00:00"/>
    <x v="11"/>
    <x v="0"/>
    <s v="NF 04"/>
    <n v="31173"/>
    <s v="JWF8303"/>
    <d v="2026-08-26T00:00:00"/>
  </r>
  <r>
    <x v="8"/>
    <d v="2026-05-19T00:00:00"/>
    <x v="0"/>
    <x v="0"/>
    <s v="040323-0006-01"/>
    <s v="CALÇO DE EPS INFERIOR 34L "/>
    <x v="1"/>
    <s v="CALÇO"/>
    <s v="5774-02"/>
    <s v="MICRO-ONDAS MO-02-34-B 220V/60HZ ."/>
    <s v="MO 34L"/>
    <n v="19"/>
    <n v="19"/>
    <n v="0"/>
    <d v="2026-08-07T00:00:00"/>
    <x v="11"/>
    <x v="0"/>
    <s v="NF 04"/>
    <n v="31173"/>
    <s v="JWF8303"/>
    <d v="2026-08-26T00:00:00"/>
  </r>
  <r>
    <x v="8"/>
    <d v="2026-05-19T00:00:00"/>
    <x v="0"/>
    <x v="0"/>
    <s v="040323-0006-01"/>
    <s v="CALÇO DE EPS INFERIOR 34L "/>
    <x v="1"/>
    <s v="CALÇO"/>
    <s v="5774-02"/>
    <s v="MICRO-ONDAS MO-02-34-B 220V/60HZ ."/>
    <s v="MO 34L"/>
    <n v="184"/>
    <n v="184"/>
    <n v="0"/>
    <d v="2026-08-07T00:00:00"/>
    <x v="11"/>
    <x v="0"/>
    <s v="NF 04"/>
    <n v="31173"/>
    <s v="JWF8303"/>
    <d v="2026-08-26T00:00:00"/>
  </r>
  <r>
    <x v="8"/>
    <d v="2026-05-19T00:00:00"/>
    <x v="0"/>
    <x v="0"/>
    <s v="040323-0005-01"/>
    <s v="CALÇO DE EPS SUPERIOR 34L "/>
    <x v="1"/>
    <s v="CALÇO"/>
    <s v="5617-04"/>
    <s v="MICRO-ONDAS MO-02-34-W 220V/60HZ ."/>
    <s v="MO 34L"/>
    <n v="81"/>
    <n v="81"/>
    <n v="0"/>
    <d v="2026-08-06T00:00:00"/>
    <x v="11"/>
    <x v="0"/>
    <s v="NF 04"/>
    <n v="31173"/>
    <s v="JWF8303"/>
    <d v="2026-08-26T00:00:00"/>
  </r>
  <r>
    <x v="8"/>
    <d v="2026-05-19T00:00:00"/>
    <x v="0"/>
    <x v="0"/>
    <s v="040323-0005-01"/>
    <s v="CALÇO DE EPS SUPERIOR 34L "/>
    <x v="1"/>
    <s v="CALÇO"/>
    <s v="5618-01"/>
    <s v="MICRO-ONDAS MO-02-34-E 127V/60HZ ."/>
    <s v="MO 34L"/>
    <n v="48"/>
    <n v="48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5-01"/>
    <s v="CALÇO DE EPS SUPERIOR 34L "/>
    <x v="1"/>
    <s v="CALÇO"/>
    <s v="5618-02"/>
    <s v="MICRO-ONDAS MO-02-34-E 220V/60HZ ."/>
    <s v="MO 34L"/>
    <n v="16"/>
    <n v="16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5-01"/>
    <s v="CALÇO DE EPS SUPERIOR 34L "/>
    <x v="1"/>
    <s v="CALÇO"/>
    <s v="5618-03"/>
    <s v="MICRO-ONDAS MO-02-34-E 127V/60HZ ."/>
    <s v="MO 34L"/>
    <n v="65"/>
    <n v="65"/>
    <n v="0"/>
    <d v="2026-08-06T00:00:00"/>
    <x v="11"/>
    <x v="0"/>
    <s v="NF 01"/>
    <n v="31170"/>
    <s v="JXU2118"/>
    <d v="2026-08-26T00:00:00"/>
  </r>
  <r>
    <x v="8"/>
    <d v="2026-05-19T00:00:00"/>
    <x v="0"/>
    <x v="0"/>
    <s v="040323-0005-01"/>
    <s v="CALÇO DE EPS SUPERIOR 34L "/>
    <x v="1"/>
    <s v="CALÇO"/>
    <s v="5618-04"/>
    <s v="MICRO-ONDAS MO-02-34-E 220V/60HZ ."/>
    <s v="MO 34L"/>
    <n v="105"/>
    <n v="105"/>
    <n v="0"/>
    <d v="2026-08-06T00:00:00"/>
    <x v="11"/>
    <x v="0"/>
    <s v="NF 04"/>
    <n v="31173"/>
    <s v="JWF8303"/>
    <d v="2026-08-26T00:00:00"/>
  </r>
  <r>
    <x v="8"/>
    <d v="2026-05-19T00:00:00"/>
    <x v="0"/>
    <x v="0"/>
    <s v="040323-0005-01"/>
    <s v="CALÇO DE EPS SUPERIOR 34L "/>
    <x v="1"/>
    <s v="CALÇO"/>
    <s v="5618-04"/>
    <s v="MICRO-ONDAS MO-02-34-E 220V/60HZ ."/>
    <s v="MO 34L"/>
    <n v="157"/>
    <n v="157"/>
    <n v="0"/>
    <d v="2026-08-06T00:00:00"/>
    <x v="11"/>
    <x v="0"/>
    <s v="NF 04"/>
    <n v="31173"/>
    <s v="JWF8303"/>
    <d v="2026-08-26T00:00:00"/>
  </r>
  <r>
    <x v="8"/>
    <d v="2026-05-19T00:00:00"/>
    <x v="0"/>
    <x v="0"/>
    <s v="040323-0003-01"/>
    <s v="CALÇO DE EPS SUPERIOR 21L 480X385X150MM"/>
    <x v="1"/>
    <s v="CALÇO"/>
    <s v="5619-01"/>
    <s v="MICRO-ONDAS MO-01-21-E 127V/60HZ"/>
    <s v="MO 21L"/>
    <n v="364"/>
    <m/>
    <n v="-364"/>
    <d v="2026-08-31T00:00:00"/>
    <x v="22"/>
    <x v="3"/>
    <s v="Entrega direto na expedição"/>
    <m/>
    <m/>
    <m/>
  </r>
  <r>
    <x v="8"/>
    <d v="2026-05-19T00:00:00"/>
    <x v="0"/>
    <x v="0"/>
    <s v="040323-0001-01"/>
    <s v="CALÇO DE EPS INFERIOR 21L 480X385X150MM"/>
    <x v="1"/>
    <s v="CALÇO"/>
    <s v="5619-02"/>
    <s v="MICRO-ONDAS MO-01-21-E 220V/60HZ"/>
    <s v="MO 21L"/>
    <n v="1"/>
    <m/>
    <n v="-1"/>
    <d v="2026-08-31T00:00:00"/>
    <x v="22"/>
    <x v="3"/>
    <s v="Entrega direto na expedição"/>
    <m/>
    <m/>
    <m/>
  </r>
  <r>
    <x v="8"/>
    <d v="2026-05-19T00:00:00"/>
    <x v="0"/>
    <x v="0"/>
    <s v="040323-0005-01"/>
    <s v="CALÇO DE EPS SUPERIOR 34L "/>
    <x v="1"/>
    <s v="CALÇO"/>
    <s v="5774-01"/>
    <s v="MICRO-ONDAS MO-02-34-B 127V/60HZ ."/>
    <s v="MO 34L"/>
    <n v="5"/>
    <n v="5"/>
    <n v="0"/>
    <d v="2026-08-06T00:00:00"/>
    <x v="11"/>
    <x v="0"/>
    <s v="NF 04"/>
    <n v="31173"/>
    <s v="JWF8303"/>
    <d v="2026-08-26T00:00:00"/>
  </r>
  <r>
    <x v="8"/>
    <d v="2026-05-19T00:00:00"/>
    <x v="0"/>
    <x v="0"/>
    <s v="040323-0005-01"/>
    <s v="CALÇO DE EPS SUPERIOR 34L "/>
    <x v="1"/>
    <s v="CALÇO"/>
    <s v="5774-02"/>
    <s v="MICRO-ONDAS MO-02-34-B 220V/60HZ ."/>
    <s v="MO 34L"/>
    <n v="19"/>
    <n v="19"/>
    <n v="0"/>
    <d v="2026-08-06T00:00:00"/>
    <x v="11"/>
    <x v="0"/>
    <s v="NF 04"/>
    <n v="31173"/>
    <s v="JWF8303"/>
    <d v="2026-08-26T00:00:00"/>
  </r>
  <r>
    <x v="8"/>
    <d v="2026-05-19T00:00:00"/>
    <x v="0"/>
    <x v="0"/>
    <s v="040323-0005-01"/>
    <s v="CALÇO DE EPS SUPERIOR 34L "/>
    <x v="1"/>
    <s v="CALÇO"/>
    <s v="5774-02"/>
    <s v="MICRO-ONDAS MO-02-34-B 220V/60HZ ."/>
    <s v="MO 34L"/>
    <n v="184"/>
    <n v="184"/>
    <n v="0"/>
    <d v="2026-08-06T00:00:00"/>
    <x v="11"/>
    <x v="0"/>
    <s v="NF 04"/>
    <n v="31173"/>
    <s v="JWF8303"/>
    <d v="2026-08-26T00:00:00"/>
  </r>
  <r>
    <x v="8"/>
    <d v="2026-05-19T00:00:00"/>
    <x v="0"/>
    <x v="0"/>
    <s v="030623-0009-01"/>
    <s v="RÓTULO DE IDENTIF WHITE 34L 530X285MM"/>
    <x v="1"/>
    <s v="ROTULO"/>
    <s v="5617-04"/>
    <s v="MICRO-ONDAS MO-02-34-W 220V/60HZ ."/>
    <s v="MO 34L"/>
    <n v="81"/>
    <m/>
    <n v="-81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03-02"/>
    <s v="RÓTULO DE IDENTIF MIRROR 34L 530X285MM"/>
    <x v="1"/>
    <s v="ROTULO"/>
    <s v="5618-01"/>
    <s v="MICRO-ONDAS MO-02-34-E 127V/60HZ ."/>
    <s v="MO 34L"/>
    <n v="48"/>
    <m/>
    <n v="-48"/>
    <m/>
    <x v="3"/>
    <x v="2"/>
    <s v="Sem saldo, não pode usar o modelo atual; Fazer pedido por e-mail"/>
    <m/>
    <m/>
    <m/>
  </r>
  <r>
    <x v="8"/>
    <d v="2026-05-19T00:00:00"/>
    <x v="0"/>
    <x v="0"/>
    <s v="030623-0003-02"/>
    <s v="RÓTULO DE IDENTIF MIRROR 34L 530X285MM"/>
    <x v="1"/>
    <s v="ROTULO"/>
    <s v="5618-02"/>
    <s v="MICRO-ONDAS MO-02-34-E 220V/60HZ ."/>
    <s v="MO 34L"/>
    <n v="16"/>
    <m/>
    <n v="-16"/>
    <m/>
    <x v="3"/>
    <x v="2"/>
    <s v="Sem saldo, não pode usar o modelo atual; Fazer pedido por e-mail"/>
    <m/>
    <m/>
    <m/>
  </r>
  <r>
    <x v="8"/>
    <d v="2026-05-19T00:00:00"/>
    <x v="0"/>
    <x v="0"/>
    <s v="030623-0008-01"/>
    <s v="RÓTULO DE IDENTIF BLACK 34L 530X285MM"/>
    <x v="1"/>
    <s v="ROTULO"/>
    <s v="5618-03"/>
    <s v="MICRO-ONDAS MO-02-34-E 127V/60HZ ."/>
    <s v="MO 34L"/>
    <n v="65"/>
    <n v="65"/>
    <n v="0"/>
    <d v="2026-07-30T00:00:00"/>
    <x v="21"/>
    <x v="0"/>
    <s v="NF 07"/>
    <n v="31205"/>
    <s v="JXA5412"/>
    <d v="2026-08-28T00:00:00"/>
  </r>
  <r>
    <x v="8"/>
    <d v="2026-05-19T00:00:00"/>
    <x v="0"/>
    <x v="0"/>
    <s v="030623-0008-01"/>
    <s v="RÓTULO DE IDENTIF BLACK 34L 530X285MM"/>
    <x v="1"/>
    <s v="ROTULO"/>
    <s v="5618-04"/>
    <s v="MICRO-ONDAS MO-02-34-E 220V/60HZ ."/>
    <s v="MO 34L"/>
    <n v="105"/>
    <n v="105"/>
    <n v="0"/>
    <d v="2026-07-30T00:00:00"/>
    <x v="21"/>
    <x v="0"/>
    <s v="NF 07"/>
    <n v="31205"/>
    <s v="JXA5412"/>
    <d v="2026-08-28T00:00:00"/>
  </r>
  <r>
    <x v="8"/>
    <d v="2026-05-19T00:00:00"/>
    <x v="0"/>
    <x v="0"/>
    <s v="030623-0008-01"/>
    <s v="RÓTULO DE IDENTIF BLACK 34L 530X285MM"/>
    <x v="1"/>
    <s v="ROTULO"/>
    <s v="5618-04"/>
    <s v="MICRO-ONDAS MO-02-34-E 220V/60HZ ."/>
    <s v="MO 34L"/>
    <n v="157"/>
    <n v="157"/>
    <n v="0"/>
    <d v="2026-07-30T00:00:00"/>
    <x v="21"/>
    <x v="0"/>
    <s v="NF 07"/>
    <n v="31205"/>
    <s v="JXA5412"/>
    <d v="2026-08-28T00:00:00"/>
  </r>
  <r>
    <x v="8"/>
    <d v="2026-05-19T00:00:00"/>
    <x v="0"/>
    <x v="0"/>
    <s v="030623-0010-01"/>
    <s v="RÓTULO DE IDENTIF MIRROR 21L 450X250MM"/>
    <x v="1"/>
    <s v="ROTULO"/>
    <s v="5619-01"/>
    <s v="MICRO-ONDAS MO-01-21-E 127V/60HZ"/>
    <s v="MO 21L"/>
    <n v="364"/>
    <m/>
    <n v="-364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10-01"/>
    <s v="RÓTULO DE IDENTIF MIRROR 21L 450X250MM"/>
    <x v="1"/>
    <s v="ROTULO"/>
    <s v="5619-02"/>
    <s v="MICRO-ONDAS MO-01-21-E 220V/60HZ"/>
    <s v="MO 21L"/>
    <n v="1"/>
    <m/>
    <n v="-1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05-01"/>
    <s v="RÓTULO DE IDENTIF BLACK 34L 530X285MM"/>
    <x v="1"/>
    <s v="ROTULO"/>
    <s v="5774-01"/>
    <s v="MICRO-ONDAS MO-02-34-B 127V/60HZ ."/>
    <s v="MO 34L"/>
    <n v="5"/>
    <m/>
    <n v="-5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05-01"/>
    <s v="RÓTULO DE IDENTIF BLACK 34L 530X285MM"/>
    <x v="1"/>
    <s v="ROTULO"/>
    <s v="5774-02"/>
    <s v="MICRO-ONDAS MO-02-34-B 220V/60HZ ."/>
    <s v="MO 34L"/>
    <n v="19"/>
    <m/>
    <n v="-19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30623-0005-01"/>
    <s v="RÓTULO DE IDENTIF BLACK 34L 530X285MM"/>
    <x v="1"/>
    <s v="ROTULO"/>
    <s v="5774-02"/>
    <s v="MICRO-ONDAS MO-02-34-B 220V/60HZ ."/>
    <s v="MO 34L"/>
    <n v="184"/>
    <m/>
    <n v="-184"/>
    <d v="2026-07-30T00:00:00"/>
    <x v="14"/>
    <x v="3"/>
    <s v="Reserva M220- Verificando com almoxarifado se possui paletes com quebra"/>
    <m/>
    <m/>
    <m/>
  </r>
  <r>
    <x v="8"/>
    <d v="2026-05-19T00:00:00"/>
    <x v="0"/>
    <x v="0"/>
    <s v="040125-0037-01"/>
    <s v="CX DE EMBALAGEM INDIVIDUAL CM-220-N"/>
    <x v="0"/>
    <s v="CAIXA INDIVIDUAL"/>
    <s v="7040-01"/>
    <s v="CAIXA AMPLIFICADA CM-220-N BIV."/>
    <s v="CM 220 N"/>
    <n v="8"/>
    <m/>
    <n v="-8"/>
    <m/>
    <x v="14"/>
    <x v="3"/>
    <s v="Fazer reserva "/>
    <m/>
    <m/>
    <m/>
  </r>
  <r>
    <x v="8"/>
    <d v="2026-05-19T00:00:00"/>
    <x v="0"/>
    <x v="0"/>
    <s v="040225-0002-02"/>
    <s v="CX DE EMBALAGEM COLETIVA CM-150/CM-220-N"/>
    <x v="0"/>
    <s v="CAIXA COLETIVA"/>
    <s v="7040-01"/>
    <s v="CAIXA AMPLIFICADA CM-220-N BIV."/>
    <s v="CM 220 N"/>
    <n v="2"/>
    <m/>
    <n v="-2"/>
    <m/>
    <x v="3"/>
    <x v="2"/>
    <s v="Solicitar compra por e-mail"/>
    <m/>
    <m/>
    <m/>
  </r>
  <r>
    <x v="8"/>
    <d v="2026-05-19T00:00:00"/>
    <x v="0"/>
    <x v="0"/>
    <s v="040125-0038-01"/>
    <s v="CX DE EMBALAGEM INDIVIDUAL CM-300-N"/>
    <x v="0"/>
    <s v="CAIXA INDIVIDUAL"/>
    <s v="7041-01"/>
    <s v="CAIXA AMPLIFICADA CM-300-N BIV."/>
    <s v="CM300N"/>
    <n v="32"/>
    <n v="32"/>
    <n v="0"/>
    <d v="2026-08-07T00:00:00"/>
    <x v="21"/>
    <x v="0"/>
    <s v="NF 05"/>
    <n v="31194"/>
    <s v="JXA5412"/>
    <d v="2026-08-28T00:00:00"/>
  </r>
  <r>
    <x v="8"/>
    <d v="2026-05-19T00:00:00"/>
    <x v="0"/>
    <x v="0"/>
    <s v="040225-0004-01"/>
    <s v="CX DE EMBALAGEM COLETIVA CM-400-L"/>
    <x v="0"/>
    <s v="CAIXA COLETIVA"/>
    <s v="7041-01"/>
    <s v="CAIXA AMPLIFICADA CM-300-N BIV."/>
    <s v="CM300N"/>
    <n v="8"/>
    <n v="8"/>
    <n v="0"/>
    <d v="2026-08-18T00:00:00"/>
    <x v="18"/>
    <x v="0"/>
    <s v="NF 10"/>
    <n v="31242"/>
    <s v="BSF6536"/>
    <d v="2026-09-04T00:00:00"/>
  </r>
  <r>
    <x v="8"/>
    <d v="2026-05-19T00:00:00"/>
    <x v="0"/>
    <x v="0"/>
    <s v="040125-0040-01"/>
    <s v="CX DE EMBALAGEM INDIVIDUAL CM-650-N"/>
    <x v="0"/>
    <s v="CAIXA INDIVIDUAL"/>
    <s v="7044-01"/>
    <s v="CAIXA AMPLIFICADA CM-650-N BIV."/>
    <s v="CM650N"/>
    <n v="150"/>
    <n v="150"/>
    <n v="0"/>
    <d v="2026-07-29T00:00:00"/>
    <x v="21"/>
    <x v="0"/>
    <s v="NF 09"/>
    <n v="31206"/>
    <s v="JXA5412"/>
    <d v="2026-08-28T00:00:00"/>
  </r>
  <r>
    <x v="8"/>
    <d v="2026-05-19T00:00:00"/>
    <x v="0"/>
    <x v="0"/>
    <s v="040125-0041-02"/>
    <s v="CX DE EMBALAGEM INDIVIDUAL CM-1000-N"/>
    <x v="0"/>
    <s v="CAIXA INDIVIDUAL"/>
    <s v="7045-01"/>
    <s v="CAIXA AMPLIFICADA CM-1000-N BIV."/>
    <s v="CM1000N"/>
    <n v="17"/>
    <m/>
    <n v="-17"/>
    <m/>
    <x v="14"/>
    <x v="3"/>
    <s v="Fazer reserva "/>
    <m/>
    <m/>
    <m/>
  </r>
  <r>
    <x v="8"/>
    <d v="2026-05-19T00:00:00"/>
    <x v="0"/>
    <x v="0"/>
    <s v="040122-0015-01"/>
    <s v="CX DE EMBALAGEM INDIVIDUAL ANDROID 32"/>
    <x v="0"/>
    <s v="CAIXA INDIVIDUAL"/>
    <s v="8832-01"/>
    <s v="TV 32 ANDROID BORD INF AWS-TV-32-BL-02-A"/>
    <s v="TV 32 ANDROID"/>
    <n v="4"/>
    <n v="4"/>
    <n v="0"/>
    <d v="2026-08-07T00:00:00"/>
    <x v="21"/>
    <x v="0"/>
    <s v="NF 05"/>
    <n v="31194"/>
    <s v="JXA5412"/>
    <d v="2026-08-28T00:00:00"/>
  </r>
  <r>
    <x v="8"/>
    <d v="2026-05-19T00:00:00"/>
    <x v="0"/>
    <x v="0"/>
    <s v="040122-0015-01"/>
    <s v="CX DE EMBALAGEM INDIVIDUAL ANDROID 32"/>
    <x v="0"/>
    <s v="CAIXA INDIVIDUAL"/>
    <s v="8832-02"/>
    <s v="TV 32 ANDROID BORD INF AWS-TV-32-BL-02-A"/>
    <s v="TV 32 ANDROID"/>
    <n v="106"/>
    <n v="106"/>
    <n v="0"/>
    <d v="2026-08-07T00:00:00"/>
    <x v="21"/>
    <x v="0"/>
    <s v="NF 05"/>
    <n v="31194"/>
    <s v="JXA5412"/>
    <d v="2026-08-28T00:00:00"/>
  </r>
  <r>
    <x v="8"/>
    <d v="2026-05-19T00:00:00"/>
    <x v="0"/>
    <x v="0"/>
    <s v="040122-0016-01"/>
    <s v="CX DE EMBALAGEM INDIVIDUAL ANDROID 43&quot;"/>
    <x v="0"/>
    <s v="CAIXA INDIVIDUAL"/>
    <s v="8843-01"/>
    <s v="TV 43 ANDROID BORD INF AWS-TV-43-BL-02-A"/>
    <s v="TV 43 ANDROID"/>
    <n v="23"/>
    <m/>
    <n v="-23"/>
    <d v="2026-08-28T00:00:00"/>
    <x v="13"/>
    <x v="3"/>
    <s v="Entrega direto na expedição"/>
    <m/>
    <m/>
    <m/>
  </r>
  <r>
    <x v="8"/>
    <d v="2026-05-19T00:00:00"/>
    <x v="0"/>
    <x v="0"/>
    <s v="040122-0016-01"/>
    <s v="CX DE EMBALAGEM INDIVIDUAL ANDROID 43&quot;"/>
    <x v="0"/>
    <s v="CAIXA INDIVIDUAL"/>
    <s v="8843-02"/>
    <s v="TV 43 ANDROID BORD INF AWS-TV-43-BL-02-A"/>
    <s v="TV 43 ANDROID"/>
    <n v="64"/>
    <m/>
    <n v="-64"/>
    <d v="2026-08-28T00:00:00"/>
    <x v="13"/>
    <x v="3"/>
    <s v="Entrega direto na expedição"/>
    <m/>
    <m/>
    <m/>
  </r>
  <r>
    <x v="8"/>
    <d v="2026-05-19T00:00:00"/>
    <x v="0"/>
    <x v="0"/>
    <s v="040122-0016-01"/>
    <s v="CX DE EMBALAGEM INDIVIDUAL ANDROID 43&quot;"/>
    <x v="0"/>
    <s v="CAIXA INDIVIDUAL"/>
    <s v="8843-02"/>
    <s v="TV 43 ANDROID BORD INF AWS-TV-43-BL-02-A"/>
    <s v="TV 43 ANDROID"/>
    <n v="13"/>
    <m/>
    <n v="-13"/>
    <d v="2026-08-28T00:00:00"/>
    <x v="13"/>
    <x v="3"/>
    <s v="Entrega direto na expedição"/>
    <m/>
    <m/>
    <m/>
  </r>
  <r>
    <x v="8"/>
    <d v="2026-05-19T00:00:00"/>
    <x v="0"/>
    <x v="0"/>
    <s v="040122-0016-01"/>
    <s v="CX DE EMBALAGEM INDIVIDUAL ANDROID 43&quot;"/>
    <x v="0"/>
    <s v="CAIXA INDIVIDUAL"/>
    <s v="8843-03"/>
    <s v="TV 43 ANDROID BORD INF AWS-TV-43-BL-02-A"/>
    <s v="TV 43 ANDROID"/>
    <n v="225"/>
    <m/>
    <n v="-225"/>
    <d v="2026-08-28T00:00:00"/>
    <x v="13"/>
    <x v="3"/>
    <s v="Entrega direto na expedição"/>
    <m/>
    <m/>
    <m/>
  </r>
  <r>
    <x v="8"/>
    <d v="2026-05-19T00:00:00"/>
    <x v="0"/>
    <x v="0"/>
    <s v="040122-0016-01"/>
    <s v="CX DE EMBALAGEM INDIVIDUAL ANDROID 43&quot;"/>
    <x v="0"/>
    <s v="CAIXA INDIVIDUAL"/>
    <s v="8843-03"/>
    <s v="TV 43 ANDROID BORD INF AWS-TV-43-BL-02-A"/>
    <s v="TV 43 ANDROID"/>
    <n v="33"/>
    <m/>
    <n v="-33"/>
    <d v="2026-08-28T00:00:00"/>
    <x v="13"/>
    <x v="3"/>
    <s v="Entrega direto na expedição"/>
    <m/>
    <m/>
    <m/>
  </r>
  <r>
    <x v="8"/>
    <d v="2026-05-19T00:00:00"/>
    <x v="0"/>
    <x v="0"/>
    <s v="040125-0029-02"/>
    <s v="CX DE EMBALAGEM INDIVIDUAL CM-400-L"/>
    <x v="0"/>
    <s v="CAIXA INDIVIDUAL"/>
    <s v="8998-01"/>
    <s v="CAIXA AMPLIFICADA CM-400-L BIVOLT ."/>
    <s v="CM 400L"/>
    <n v="12"/>
    <n v="12"/>
    <n v="0"/>
    <d v="2026-08-07T00:00:00"/>
    <x v="21"/>
    <x v="0"/>
    <s v="NF 05"/>
    <n v="31194"/>
    <s v="JXA5412"/>
    <d v="2026-08-28T00:00:00"/>
  </r>
  <r>
    <x v="8"/>
    <d v="2026-05-19T00:00:00"/>
    <x v="0"/>
    <x v="0"/>
    <s v="040125-0030-01"/>
    <s v="CX DE EMBALAGEM INDIVIDUAL CM-550-L"/>
    <x v="0"/>
    <s v="CAIXA INDIVIDUAL"/>
    <s v="8999-01"/>
    <s v="CAIXA AMPLIFICADA CM-550-L BIVOLT ."/>
    <s v="CM 550L"/>
    <n v="2"/>
    <m/>
    <n v="-2"/>
    <d v="2026-09-21T00:00:00"/>
    <x v="23"/>
    <x v="3"/>
    <s v="Joao, em pedido"/>
    <m/>
    <m/>
    <m/>
  </r>
  <r>
    <x v="8"/>
    <d v="2026-05-19T00:00:00"/>
    <x v="0"/>
    <x v="0"/>
    <s v="040117-0005-01"/>
    <s v="CX DE EMBALAGEM INDIVIDUAL AWS-BBS-01-LB"/>
    <x v="0"/>
    <s v="CAIXA INDIVIDUAL"/>
    <s v="9531-01"/>
    <s v="BOOMBOX C/ LUZES AWS-BBS-01-LBL BIVOLT"/>
    <s v="BBS LBL"/>
    <n v="98"/>
    <n v="600"/>
    <n v="502"/>
    <d v="2026-08-19T00:00:00"/>
    <x v="14"/>
    <x v="3"/>
    <s v="Fazer reserva "/>
    <m/>
    <m/>
    <m/>
  </r>
  <r>
    <x v="8"/>
    <d v="2026-05-19T00:00:00"/>
    <x v="0"/>
    <x v="0"/>
    <s v="040117-0005-01"/>
    <s v="CX DE EMBALAGEM INDIVIDUAL AWS-BBS-01-LB"/>
    <x v="0"/>
    <s v="CAIXA INDIVIDUAL"/>
    <s v="9531-01"/>
    <s v="BOOMBOX C/ LUZES AWS-BBS-01-LBL BIVOLT"/>
    <s v="BBS LBL"/>
    <n v="32"/>
    <m/>
    <n v="-32"/>
    <d v="2026-08-19T00:00:00"/>
    <x v="14"/>
    <x v="3"/>
    <s v="Fazer reserva "/>
    <m/>
    <m/>
    <m/>
  </r>
  <r>
    <x v="8"/>
    <d v="2026-05-19T00:00:00"/>
    <x v="0"/>
    <x v="0"/>
    <s v="040125-0009-01"/>
    <s v="CX DE EMBALAGEM INDIVIDUAL CM-700"/>
    <x v="0"/>
    <s v="CAIXA INDIVIDUAL"/>
    <s v="9915-01"/>
    <s v="CAIXA AMPLIFICADA CM-700 BIVOLT ."/>
    <s v="CM 700"/>
    <n v="52"/>
    <m/>
    <n v="-52"/>
    <m/>
    <x v="3"/>
    <x v="2"/>
    <s v="Solicitar compra por e-mail"/>
    <m/>
    <m/>
    <m/>
  </r>
  <r>
    <x v="8"/>
    <d v="2026-05-19T00:00:00"/>
    <x v="0"/>
    <x v="0"/>
    <s v="040125-0009-01"/>
    <s v="CX DE EMBALAGEM INDIVIDUAL CM-700"/>
    <x v="0"/>
    <s v="CAIXA INDIVIDUAL"/>
    <s v="9915-03"/>
    <s v="CAIXA AMPLIFICADA CM-700 BIVOLT ."/>
    <s v="CM 700"/>
    <n v="20"/>
    <m/>
    <n v="-20"/>
    <m/>
    <x v="3"/>
    <x v="2"/>
    <s v="Solicitar compra por e-mail"/>
    <m/>
    <m/>
    <m/>
  </r>
  <r>
    <x v="8"/>
    <d v="2026-05-19T00:00:00"/>
    <x v="0"/>
    <x v="0"/>
    <s v="040125-0009-01"/>
    <s v="CX DE EMBALAGEM INDIVIDUAL CM-700"/>
    <x v="0"/>
    <s v="CAIXA INDIVIDUAL"/>
    <s v="9915-03"/>
    <s v="CAIXA AMPLIFICADA CM-700 BIVOLT ."/>
    <s v="CM 700"/>
    <n v="181"/>
    <m/>
    <n v="-181"/>
    <m/>
    <x v="3"/>
    <x v="2"/>
    <s v="Solicitar compra por e-mail"/>
    <m/>
    <m/>
    <m/>
  </r>
  <r>
    <x v="8"/>
    <d v="2026-05-19T00:00:00"/>
    <x v="0"/>
    <x v="0"/>
    <s v="030625-0001-01"/>
    <s v="RÓTULO DE IDENTIF CM-700"/>
    <x v="1"/>
    <s v="ROTULO"/>
    <s v="9915-01"/>
    <s v="CAIXA AMPLIFICADA CM-700 BIVOLT ."/>
    <s v="CM 700"/>
    <n v="52"/>
    <m/>
    <n v="-52"/>
    <m/>
    <x v="3"/>
    <x v="2"/>
    <s v="Solicitar compra por e-mail"/>
    <m/>
    <m/>
    <m/>
  </r>
  <r>
    <x v="8"/>
    <d v="2026-05-19T00:00:00"/>
    <x v="0"/>
    <x v="0"/>
    <s v="030625-0001-01"/>
    <s v="RÓTULO DE IDENTIF CM-700"/>
    <x v="1"/>
    <s v="ROTULO"/>
    <s v="9915-03"/>
    <s v="CAIXA AMPLIFICADA CM-700 BIVOLT ."/>
    <s v="CM 700"/>
    <n v="20"/>
    <m/>
    <n v="-20"/>
    <m/>
    <x v="3"/>
    <x v="2"/>
    <s v="Solicitar compra por e-mail"/>
    <m/>
    <m/>
    <m/>
  </r>
  <r>
    <x v="8"/>
    <d v="2026-05-19T00:00:00"/>
    <x v="0"/>
    <x v="0"/>
    <s v="030625-0001-01"/>
    <s v="RÓTULO DE IDENTIF CM-700"/>
    <x v="1"/>
    <s v="ROTULO"/>
    <s v="9915-03"/>
    <s v="CAIXA AMPLIFICADA CM-700 BIVOLT ."/>
    <s v="CM 700"/>
    <n v="181"/>
    <m/>
    <n v="-181"/>
    <m/>
    <x v="3"/>
    <x v="2"/>
    <s v="Solicitar compra por e-mail"/>
    <m/>
    <m/>
    <m/>
  </r>
  <r>
    <x v="8"/>
    <d v="2026-05-19T00:00:00"/>
    <x v="0"/>
    <x v="0"/>
    <s v="040225-0002-02"/>
    <s v="CX DE EMBALAGEM COLETIVA CM-150/CM-220-N"/>
    <x v="0"/>
    <s v="CAIXA COLETIVA"/>
    <s v="5487-01"/>
    <s v="CAIXA AMPLIFICADA CM-150 BIVOLT ."/>
    <s v="CM150"/>
    <n v="16"/>
    <m/>
    <n v="-16"/>
    <m/>
    <x v="3"/>
    <x v="2"/>
    <s v="Solicitar compra por e-mail"/>
    <m/>
    <m/>
    <m/>
  </r>
  <r>
    <x v="8"/>
    <d v="2026-05-19T00:00:00"/>
    <x v="0"/>
    <x v="0"/>
    <s v="040225-0002-02"/>
    <s v="CX DE EMBALAGEM COLETIVA CM-150/CM-220-N"/>
    <x v="0"/>
    <s v="CAIXA COLETIVA"/>
    <s v="5487-01"/>
    <s v="CAIXA AMPLIFICADA CM-150 BIVOLT ."/>
    <s v="CM150"/>
    <n v="40"/>
    <m/>
    <n v="-40"/>
    <m/>
    <x v="3"/>
    <x v="2"/>
    <s v="Solicitar compra por e-mail"/>
    <m/>
    <m/>
    <m/>
  </r>
  <r>
    <x v="8"/>
    <d v="2026-05-19T00:00:00"/>
    <x v="0"/>
    <x v="0"/>
    <s v="040225-0002-02"/>
    <s v="CX DE EMBALAGEM COLETIVA CM-150/CM-220-N"/>
    <x v="0"/>
    <s v="CAIXA COLETIVA"/>
    <s v="5487-02"/>
    <s v="CAIXA AMPLIFICADA CM-150 BIVOLT ."/>
    <s v="CM150"/>
    <n v="192"/>
    <m/>
    <n v="-192"/>
    <m/>
    <x v="3"/>
    <x v="2"/>
    <s v="Solicitar compra por e-mail"/>
    <m/>
    <m/>
    <m/>
  </r>
  <r>
    <x v="8"/>
    <d v="2026-05-19T00:00:00"/>
    <x v="0"/>
    <x v="0"/>
    <s v="040225-0002-02"/>
    <s v="CX DE EMBALAGEM COLETIVA CM-150/CM-220-N"/>
    <x v="0"/>
    <s v="CAIXA COLETIVA"/>
    <s v="5487-02"/>
    <s v="CAIXA AMPLIFICADA CM-150 BIVOLT ."/>
    <s v="CM150"/>
    <n v="20"/>
    <m/>
    <n v="-20"/>
    <m/>
    <x v="3"/>
    <x v="2"/>
    <s v="Solicitar compra por e-mail"/>
    <m/>
    <m/>
    <m/>
  </r>
  <r>
    <x v="8"/>
    <d v="2026-05-19T00:00:00"/>
    <x v="0"/>
    <x v="0"/>
    <s v="040125-0012-01"/>
    <s v="CX DE EMBALAGEM INDIVIDUAL CM-400"/>
    <x v="0"/>
    <s v="CAIXA INDIVIDUAL"/>
    <s v="0685-04"/>
    <s v="CAIXA AMPLIFICADA CM-400 BIVOLT ."/>
    <s v="CM400"/>
    <n v="65"/>
    <n v="65"/>
    <n v="0"/>
    <d v="2026-08-07T00:00:00"/>
    <x v="11"/>
    <x v="0"/>
    <s v="NF 04"/>
    <n v="31173"/>
    <s v="JWF8303"/>
    <d v="2026-08-26T00:00:00"/>
  </r>
  <r>
    <x v="8"/>
    <d v="2026-05-19T00:00:00"/>
    <x v="0"/>
    <x v="0"/>
    <s v="020317-0002-01"/>
    <s v="ETQ LACRE DA EMBALAGEM TRANSP AWS-BBS-01"/>
    <x v="1"/>
    <s v="LACRE"/>
    <s v="9531-01"/>
    <s v="BOOMBOX C/ LUZES AWS-BBS-01-LBL BIVOLT"/>
    <s v="BBS LBL"/>
    <n v="260"/>
    <n v="260"/>
    <n v="0"/>
    <d v="2026-08-19T00:00:00"/>
    <x v="14"/>
    <x v="3"/>
    <s v="Fazer reserva "/>
    <m/>
    <m/>
    <m/>
  </r>
  <r>
    <x v="8"/>
    <d v="2026-05-19T00:00:00"/>
    <x v="0"/>
    <x v="0"/>
    <s v="040125-0040-01"/>
    <s v="CX DE EMBALAGEM INDIVIDUAL CM-650-N"/>
    <x v="0"/>
    <s v="CAIXA INDIVIDUAL"/>
    <s v="7044-01"/>
    <s v="CAIXA AMPLIFICADA CM-650-N BIV."/>
    <s v="CM650N"/>
    <n v="65"/>
    <n v="65"/>
    <n v="0"/>
    <d v="2026-08-18T00:00:00"/>
    <x v="18"/>
    <x v="0"/>
    <s v="NF 10"/>
    <n v="31242"/>
    <s v="BSF6536"/>
    <d v="2026-09-04T00:00:00"/>
  </r>
  <r>
    <x v="9"/>
    <d v="2026-06-15T00:00:00"/>
    <x v="6"/>
    <x v="1"/>
    <s v="040125-0012-01"/>
    <s v="CX DE EMBALAGEM INDIVIDUAL CM-400"/>
    <x v="0"/>
    <s v="CAIXA INDIVIDUAL"/>
    <s v="0685-04"/>
    <s v="CAIXA AMPLIFICADA CM-400 BIVOLT ."/>
    <s v="CM400"/>
    <n v="415"/>
    <n v="415"/>
    <n v="0"/>
    <d v="2026-08-07T00:00:00"/>
    <x v="11"/>
    <x v="0"/>
    <s v="NF 04"/>
    <n v="31178"/>
    <s v="JWF8303"/>
    <d v="2026-08-26T00:00:00"/>
  </r>
  <r>
    <x v="9"/>
    <d v="2026-06-15T00:00:00"/>
    <x v="6"/>
    <x v="1"/>
    <s v="040125-0012-01"/>
    <s v="CX DE EMBALAGEM INDIVIDUAL CM-400"/>
    <x v="0"/>
    <s v="CAIXA INDIVIDUAL"/>
    <s v="0685-03"/>
    <s v="CAIXA AMPLIFICADA CM-400 BIVOLT ."/>
    <s v="CM400"/>
    <n v="120"/>
    <n v="120"/>
    <n v="0"/>
    <d v="2026-08-07T00:00:00"/>
    <x v="11"/>
    <x v="0"/>
    <s v="NF 04"/>
    <n v="31178"/>
    <s v="JWF8303"/>
    <d v="2026-08-26T00:00:00"/>
  </r>
  <r>
    <x v="9"/>
    <d v="2026-06-15T00:00:00"/>
    <x v="6"/>
    <x v="1"/>
    <s v="040225-0003-01"/>
    <s v="CX DE EMBALAGEM COLETIVA CM-250"/>
    <x v="0"/>
    <s v="CAIXA COLETIVA"/>
    <s v="2108-03"/>
    <s v="CAIXA AMPLIFICADA CM-250 BIVOLT ."/>
    <s v="CM 250"/>
    <n v="114"/>
    <m/>
    <n v="-114"/>
    <m/>
    <x v="3"/>
    <x v="2"/>
    <s v="Solicitar compra por e-mail"/>
    <m/>
    <m/>
    <m/>
  </r>
  <r>
    <x v="9"/>
    <d v="2026-06-15T00:00:00"/>
    <x v="6"/>
    <x v="1"/>
    <s v="040225-0003-01"/>
    <s v="CX DE EMBALAGEM COLETIVA CM-250"/>
    <x v="0"/>
    <s v="CAIXA COLETIVA"/>
    <s v="2108-03"/>
    <s v="CAIXA AMPLIFICADA CM-250 BIVOLT ."/>
    <s v="CM 250"/>
    <n v="1270"/>
    <n v="1270"/>
    <n v="0"/>
    <d v="2026-08-18T00:00:00"/>
    <x v="18"/>
    <x v="0"/>
    <s v="NF 08"/>
    <n v="31204"/>
    <s v="BSF6536"/>
    <d v="2026-09-04T00:00:00"/>
  </r>
  <r>
    <x v="9"/>
    <d v="2026-06-15T00:00:00"/>
    <x v="6"/>
    <x v="1"/>
    <s v="040225-0004-01"/>
    <s v="CX DE EMBALAGEM COLETIVA CM-400-L"/>
    <x v="0"/>
    <s v="CAIXA COLETIVA"/>
    <s v="8998-01"/>
    <s v="CAIXA AMPLIFICADA CM-400-L BIVOLT ."/>
    <s v="CM 400L"/>
    <n v="996"/>
    <m/>
    <n v="-996"/>
    <m/>
    <x v="3"/>
    <x v="2"/>
    <s v="Solicitar compra por e-mail"/>
    <m/>
    <m/>
    <m/>
  </r>
  <r>
    <x v="9"/>
    <d v="2026-06-15T00:00:00"/>
    <x v="6"/>
    <x v="1"/>
    <s v="040125-0028-01"/>
    <s v="CX DE EMBALAGEM INDIVIDUAL TM-2200"/>
    <x v="0"/>
    <s v="CAIXA INDIVIDUAL"/>
    <s v="2501-01"/>
    <s v="TORRE DE SOM TM2200 BIV"/>
    <s v="TM2200"/>
    <n v="10"/>
    <m/>
    <n v="-10"/>
    <d v="2026-07-29T00:00:00"/>
    <x v="14"/>
    <x v="3"/>
    <s v="Fazer reserva "/>
    <m/>
    <m/>
    <m/>
  </r>
  <r>
    <x v="9"/>
    <d v="2026-06-15T00:00:00"/>
    <x v="6"/>
    <x v="1"/>
    <s v="030625-0009-01"/>
    <s v="RÓTULO DE IDENTIF TM-2200"/>
    <x v="1"/>
    <s v="ROTULO"/>
    <s v="2501-01"/>
    <s v="TORRE DE SOM TM2200 BIV"/>
    <s v="TM2200"/>
    <n v="20"/>
    <m/>
    <n v="-20"/>
    <d v="2026-07-29T00:00:00"/>
    <x v="14"/>
    <x v="3"/>
    <s v="Fazer reserva "/>
    <m/>
    <m/>
    <m/>
  </r>
  <r>
    <x v="9"/>
    <d v="2026-06-15T00:00:00"/>
    <x v="6"/>
    <x v="1"/>
    <s v="040125-0014-01"/>
    <s v="CX DE EMBALAGEM INDIVIDUAL CM-550"/>
    <x v="0"/>
    <s v="CAIXA INDIVIDUAL"/>
    <s v="2555-05"/>
    <s v="CAIXA AMPLIFICADA CM-550 BIVOLT ."/>
    <s v="CM 550"/>
    <n v="180"/>
    <m/>
    <n v="-180"/>
    <m/>
    <x v="3"/>
    <x v="2"/>
    <s v="Solicitar compra por e-mail"/>
    <m/>
    <m/>
    <m/>
  </r>
  <r>
    <x v="9"/>
    <d v="2026-06-15T00:00:00"/>
    <x v="6"/>
    <x v="1"/>
    <s v="040117-0002-02"/>
    <s v="CX DE EMBALAGEM INDIVIDUAL AWS-BBS-01-B"/>
    <x v="0"/>
    <s v="CAIXA INDIVIDUAL"/>
    <s v="4899-01"/>
    <s v="BOOMBOX AWS-BBS-01-B BIVOLT"/>
    <s v="BBS PRETO"/>
    <n v="478"/>
    <n v="478"/>
    <n v="0"/>
    <d v="2026-08-07T00:00:00"/>
    <x v="21"/>
    <x v="0"/>
    <s v="NF 06"/>
    <n v="31192"/>
    <s v="JXA5412"/>
    <d v="2026-08-28T00:00:00"/>
  </r>
  <r>
    <x v="9"/>
    <d v="2026-06-15T00:00:00"/>
    <x v="6"/>
    <x v="1"/>
    <s v="030625-0006-01"/>
    <s v="RÓTULO DE IDENTIF T2W"/>
    <x v="1"/>
    <s v="ROTULO"/>
    <s v="5016-01"/>
    <s v="TORRE DE SOM AWS-T2W-02 BIVOLT BLUETOOTH"/>
    <s v="T2W"/>
    <n v="250"/>
    <n v="250"/>
    <n v="0"/>
    <d v="2026-08-18T00:00:00"/>
    <x v="18"/>
    <x v="0"/>
    <s v="NF 11"/>
    <n v="31241"/>
    <s v="BSF6536"/>
    <d v="2026-09-04T00:00:00"/>
  </r>
  <r>
    <x v="9"/>
    <d v="2026-06-15T00:00:00"/>
    <x v="6"/>
    <x v="1"/>
    <s v="040125-0024-01"/>
    <s v="CX DE EMBALAGEM INDIVIDUAL T2W"/>
    <x v="0"/>
    <s v="CAIXA INDIVIDUAL"/>
    <s v="5016-01"/>
    <s v="TORRE DE SOM AWS-T2W-02 BIVOLT BLUETOOTH"/>
    <s v="T2W"/>
    <n v="125"/>
    <n v="125"/>
    <n v="0"/>
    <d v="2026-08-18T00:00:00"/>
    <x v="18"/>
    <x v="0"/>
    <s v="NF 11"/>
    <n v="31241"/>
    <s v="BSF6536"/>
    <d v="2026-09-04T00:00:00"/>
  </r>
  <r>
    <x v="9"/>
    <d v="2026-06-15T00:00:00"/>
    <x v="6"/>
    <x v="1"/>
    <s v="040122-0017-01"/>
    <s v="CX DE EMBALAGEM INDIVIDUAL TV50&quot;"/>
    <x v="0"/>
    <s v="CAIXA INDIVIDUAL"/>
    <s v="5026-02"/>
    <s v="TV 50 ANDROID BORD INF AWS-TV-50-BL-02-A"/>
    <s v="TV 50 ANDROID"/>
    <n v="108"/>
    <m/>
    <n v="-108"/>
    <m/>
    <x v="14"/>
    <x v="3"/>
    <s v="Trazer supplog-Solicitado"/>
    <m/>
    <m/>
    <m/>
  </r>
  <r>
    <x v="9"/>
    <d v="2026-06-15T00:00:00"/>
    <x v="6"/>
    <x v="1"/>
    <s v="040225-0002-02"/>
    <s v="CX DE EMBALAGEM COLETIVA CM-150/CM-220-N"/>
    <x v="0"/>
    <s v="CAIXA COLETIVA"/>
    <s v="5487-01"/>
    <s v="CAIXA AMPLIFICADA CM-150 BIVOLT ."/>
    <s v="CM150"/>
    <n v="216"/>
    <m/>
    <n v="-216"/>
    <m/>
    <x v="3"/>
    <x v="2"/>
    <s v="Solicitar compra por e-mail"/>
    <m/>
    <m/>
    <m/>
  </r>
  <r>
    <x v="9"/>
    <d v="2026-06-15T00:00:00"/>
    <x v="6"/>
    <x v="1"/>
    <s v="040225-0002-02"/>
    <s v="CX DE EMBALAGEM COLETIVA CM-150/CM-220-N"/>
    <x v="0"/>
    <s v="CAIXA COLETIVA"/>
    <s v="5487-02"/>
    <s v="CAIXA AMPLIFICADA CM-150 BIVOLT ."/>
    <s v="CM150"/>
    <n v="1390"/>
    <n v="1390"/>
    <n v="0"/>
    <d v="2026-08-18T00:00:00"/>
    <x v="18"/>
    <x v="0"/>
    <s v="NF 08"/>
    <n v="31204"/>
    <s v="BSF6536"/>
    <d v="2026-09-04T00:00:00"/>
  </r>
  <r>
    <x v="9"/>
    <d v="2026-06-15T00:00:00"/>
    <x v="6"/>
    <x v="1"/>
    <s v="040225-0002-02"/>
    <s v="CX DE EMBALAGEM COLETIVA CM-150/CM-220-N"/>
    <x v="0"/>
    <s v="CAIXA COLETIVA"/>
    <s v="5487-02"/>
    <s v="CAIXA AMPLIFICADA CM-150 BIVOLT ."/>
    <s v="CM150"/>
    <n v="1110"/>
    <m/>
    <n v="-1110"/>
    <m/>
    <x v="3"/>
    <x v="2"/>
    <s v="Solicitar compra por e-mail"/>
    <m/>
    <m/>
    <m/>
  </r>
  <r>
    <x v="9"/>
    <d v="2026-06-15T00:00:00"/>
    <x v="6"/>
    <x v="1"/>
    <s v="040122-0018-01"/>
    <s v="CX DE EMBALAGEM INDIVIDUAL TV55&quot; - TEMP"/>
    <x v="0"/>
    <s v="CAIXA INDIVIDUAL"/>
    <s v="5504-01"/>
    <s v="TV 55 ANDROID AWS-TV-55-BL-01"/>
    <s v="TV 55 ANDROID"/>
    <n v="20"/>
    <m/>
    <n v="-20"/>
    <d v="2026-08-18T00:00:00"/>
    <x v="14"/>
    <x v="3"/>
    <s v="Fazer reserva "/>
    <m/>
    <m/>
    <m/>
  </r>
  <r>
    <x v="9"/>
    <d v="2026-06-15T00:00:00"/>
    <x v="6"/>
    <x v="1"/>
    <s v="040122-0015-01"/>
    <s v="CX DE EMBALAGEM INDIVIDUAL ANDROID 32"/>
    <x v="0"/>
    <s v="CAIXA INDIVIDUAL"/>
    <s v="8832-02"/>
    <s v="TV 32 ANDROID BORD INF AWS-TV-32-BL-02-A"/>
    <s v="TV 32 ANDROID"/>
    <n v="321"/>
    <m/>
    <n v="-321"/>
    <d v="2026-08-19T00:00:00"/>
    <x v="14"/>
    <x v="3"/>
    <s v="Fazer reserva "/>
    <m/>
    <m/>
    <m/>
  </r>
  <r>
    <x v="9"/>
    <d v="2026-06-15T00:00:00"/>
    <x v="6"/>
    <x v="1"/>
    <s v="040122-0015-01"/>
    <s v="CX DE EMBALAGEM INDIVIDUAL ANDROID 32"/>
    <x v="0"/>
    <s v="CAIXA INDIVIDUAL"/>
    <s v="8832-02"/>
    <s v="TV 32 ANDROID BORD INF AWS-TV-32-BL-02-A"/>
    <s v="TV 32 ANDROID"/>
    <n v="790"/>
    <n v="790"/>
    <n v="0"/>
    <d v="2026-08-07T00:00:00"/>
    <x v="21"/>
    <x v="0"/>
    <s v="NF 06"/>
    <n v="31192"/>
    <s v="JXA5412"/>
    <d v="2026-08-28T00:00:00"/>
  </r>
  <r>
    <x v="9"/>
    <d v="2026-06-15T00:00:00"/>
    <x v="6"/>
    <x v="1"/>
    <s v="040122-0016-01"/>
    <s v="CX DE EMBALAGEM INDIVIDUAL ANDROID 43&quot;"/>
    <x v="0"/>
    <s v="CAIXA INDIVIDUAL"/>
    <s v="8843-03"/>
    <s v="TV 43 ANDROID BORD INF AWS-TV-43-BL-02-A"/>
    <s v="TV 43 ANDROID"/>
    <n v="300"/>
    <m/>
    <n v="-300"/>
    <d v="2026-08-28T00:00:00"/>
    <x v="13"/>
    <x v="3"/>
    <s v="Entrega direto na expedição"/>
    <m/>
    <m/>
    <m/>
  </r>
  <r>
    <x v="9"/>
    <d v="2026-06-15T00:00:00"/>
    <x v="6"/>
    <x v="1"/>
    <s v="040125-0030-01"/>
    <s v="CX DE EMBALAGEM INDIVIDUAL CM-550-L"/>
    <x v="0"/>
    <s v="CAIXA INDIVIDUAL"/>
    <s v="8999-01"/>
    <s v="CAIXA AMPLIFICADA CM-550-L BIVOLT ."/>
    <s v="CM 550L"/>
    <n v="1310"/>
    <m/>
    <n v="-1310"/>
    <d v="2026-09-21T00:00:00"/>
    <x v="23"/>
    <x v="3"/>
    <s v="Joao, em pedido"/>
    <m/>
    <m/>
    <m/>
  </r>
  <r>
    <x v="9"/>
    <d v="2026-06-15T00:00:00"/>
    <x v="6"/>
    <x v="1"/>
    <s v="040117-0005-01"/>
    <s v="CX DE EMBALAGEM INDIVIDUAL AWS-BBS-01-LB"/>
    <x v="0"/>
    <s v="CAIXA INDIVIDUAL"/>
    <s v="9531-01"/>
    <s v="BOOMBOX C/ LUZES AWS-BBS-01-LBL BIVOLT"/>
    <s v="BBS LBL"/>
    <n v="5"/>
    <m/>
    <n v="-5"/>
    <d v="2026-08-19T00:00:00"/>
    <x v="14"/>
    <x v="3"/>
    <s v="Fazer reserva "/>
    <m/>
    <m/>
    <m/>
  </r>
  <r>
    <x v="9"/>
    <d v="2026-06-15T00:00:00"/>
    <x v="6"/>
    <x v="1"/>
    <s v="030625-0001-01"/>
    <s v="RÓTULO DE IDENTIF CM-700"/>
    <x v="1"/>
    <s v="ROTULO"/>
    <s v="9915-03"/>
    <s v="CAIXA AMPLIFICADA CM-700 BIVOLT ."/>
    <s v="CM 700"/>
    <n v="265"/>
    <m/>
    <n v="-265"/>
    <m/>
    <x v="3"/>
    <x v="2"/>
    <s v="Solicitar compra por e-mail"/>
    <m/>
    <m/>
    <m/>
  </r>
  <r>
    <x v="9"/>
    <d v="2026-06-15T00:00:00"/>
    <x v="6"/>
    <x v="1"/>
    <s v="040125-0009-01"/>
    <s v="CX DE EMBALAGEM INDIVIDUAL CM-700"/>
    <x v="0"/>
    <s v="CAIXA INDIVIDUAL"/>
    <s v="9915-03"/>
    <s v="CAIXA AMPLIFICADA CM-700 BIVOLT ."/>
    <s v="CM 700"/>
    <n v="265"/>
    <m/>
    <n v="-265"/>
    <m/>
    <x v="3"/>
    <x v="2"/>
    <s v="Solicitar compra por e-mail"/>
    <m/>
    <m/>
    <m/>
  </r>
  <r>
    <x v="9"/>
    <d v="2026-06-15T00:00:00"/>
    <x v="6"/>
    <x v="1"/>
    <s v="040323-0001-01"/>
    <s v="CALÇO DE EPS INFERIOR 21L 480X385X150MM"/>
    <x v="1"/>
    <s v="CALÇO"/>
    <s v="5615-01"/>
    <s v="MICRO-ONDAS MO-01-21-B 127V/60HZ"/>
    <s v="MO 21L"/>
    <n v="13"/>
    <m/>
    <n v="-13"/>
    <d v="2026-08-31T00:00:00"/>
    <x v="22"/>
    <x v="3"/>
    <s v="Entrega direto na expedição"/>
    <m/>
    <m/>
    <m/>
  </r>
  <r>
    <x v="9"/>
    <d v="2026-06-15T00:00:00"/>
    <x v="6"/>
    <x v="1"/>
    <s v="040323-0003-01"/>
    <s v="CALÇO DE EPS SUPERIOR 21L 480X385X150MM"/>
    <x v="1"/>
    <s v="CALÇO"/>
    <s v="5615-01"/>
    <s v="MICRO-ONDAS MO-01-21-B 127V/60HZ"/>
    <s v="MO 21L"/>
    <n v="13"/>
    <m/>
    <n v="-13"/>
    <d v="2026-08-31T00:00:00"/>
    <x v="22"/>
    <x v="3"/>
    <s v="Entrega direto na expedição"/>
    <m/>
    <m/>
    <m/>
  </r>
  <r>
    <x v="9"/>
    <d v="2026-06-15T00:00:00"/>
    <x v="6"/>
    <x v="1"/>
    <s v="030623-0001-02"/>
    <s v="RÓTULO DE IDENTIF BLACK 21L 450X250MM"/>
    <x v="1"/>
    <s v="ROTULO"/>
    <s v="5615-01"/>
    <s v="MICRO-ONDAS MO-01-21-B 127V/60HZ"/>
    <s v="MO 21L"/>
    <n v="13"/>
    <n v="13"/>
    <n v="0"/>
    <d v="2026-08-18T00:00:00"/>
    <x v="18"/>
    <x v="0"/>
    <s v="NF 13"/>
    <n v="31245"/>
    <s v="BSF6536"/>
    <d v="2026-09-04T00:00:00"/>
  </r>
  <r>
    <x v="9"/>
    <d v="2026-06-15T00:00:00"/>
    <x v="6"/>
    <x v="1"/>
    <s v="040323-0001-01"/>
    <s v="CALÇO DE EPS INFERIOR 21L 480X385X150MM"/>
    <x v="1"/>
    <s v="CALÇO"/>
    <s v="5615-02"/>
    <s v="MICRO-ONDAS MO-01-21-B 220V/60HZ ."/>
    <s v="MO 21L"/>
    <n v="327"/>
    <m/>
    <n v="-327"/>
    <d v="2026-08-31T00:00:00"/>
    <x v="22"/>
    <x v="3"/>
    <s v="Entrega direto na expedição"/>
    <m/>
    <m/>
    <m/>
  </r>
  <r>
    <x v="9"/>
    <d v="2026-06-15T00:00:00"/>
    <x v="6"/>
    <x v="1"/>
    <s v="040323-0003-01"/>
    <s v="CALÇO DE EPS SUPERIOR 21L 480X385X150MM"/>
    <x v="1"/>
    <s v="CALÇO"/>
    <s v="5615-02"/>
    <s v="MICRO-ONDAS MO-01-21-B 220V/60HZ ."/>
    <s v="MO 21L"/>
    <n v="327"/>
    <m/>
    <n v="-327"/>
    <d v="2026-08-31T00:00:00"/>
    <x v="22"/>
    <x v="3"/>
    <s v="Entrega direto na expedição"/>
    <m/>
    <m/>
    <m/>
  </r>
  <r>
    <x v="9"/>
    <d v="2026-06-15T00:00:00"/>
    <x v="6"/>
    <x v="1"/>
    <s v="030623-0001-02"/>
    <s v="RÓTULO DE IDENTIF BLACK 21L 450X250MM"/>
    <x v="1"/>
    <s v="ROTULO"/>
    <s v="5615-02"/>
    <s v="MICRO-ONDAS MO-01-21-B 220V/60HZ ."/>
    <s v="MO 21L"/>
    <n v="327"/>
    <n v="327"/>
    <n v="0"/>
    <d v="2026-08-18T00:00:00"/>
    <x v="18"/>
    <x v="0"/>
    <s v="NF 13"/>
    <n v="31245"/>
    <s v="BSF6536"/>
    <d v="2026-09-04T00:00:00"/>
  </r>
  <r>
    <x v="9"/>
    <d v="2026-06-15T00:00:00"/>
    <x v="6"/>
    <x v="1"/>
    <s v="040323-0001-01"/>
    <s v="CALÇO DE EPS INFERIOR 21L 480X385X150MM"/>
    <x v="1"/>
    <s v="CALÇO"/>
    <s v="5615-03"/>
    <s v="MICRO-ONDAS MO-01-21-B 127V/60HZ"/>
    <s v="MO 21L"/>
    <n v="136"/>
    <m/>
    <n v="-136"/>
    <d v="2026-08-31T00:00:00"/>
    <x v="22"/>
    <x v="3"/>
    <s v="Entrega direto na expedição"/>
    <m/>
    <m/>
    <m/>
  </r>
  <r>
    <x v="9"/>
    <d v="2026-06-15T00:00:00"/>
    <x v="6"/>
    <x v="1"/>
    <s v="040323-0003-01"/>
    <s v="CALÇO DE EPS SUPERIOR 21L 480X385X150MM"/>
    <x v="1"/>
    <s v="CALÇO"/>
    <s v="5615-03"/>
    <s v="MICRO-ONDAS MO-01-21-B 127V/60HZ"/>
    <s v="MO 21L"/>
    <n v="136"/>
    <m/>
    <n v="-136"/>
    <d v="2026-08-31T00:00:00"/>
    <x v="22"/>
    <x v="3"/>
    <s v="Entrega direto na expedição"/>
    <m/>
    <m/>
    <m/>
  </r>
  <r>
    <x v="9"/>
    <d v="2026-06-15T00:00:00"/>
    <x v="6"/>
    <x v="1"/>
    <s v="030623-0006-01"/>
    <s v="RÓTULO DE IDENTIF BLACK 21L 450X250MM"/>
    <x v="1"/>
    <s v="ROTULO"/>
    <s v="5615-03"/>
    <s v="MICRO-ONDAS MO-01-21-B 127V/60HZ"/>
    <s v="MO 21L"/>
    <n v="136"/>
    <n v="136"/>
    <n v="0"/>
    <d v="2026-08-07T00:00:00"/>
    <x v="21"/>
    <x v="0"/>
    <s v="NF 06"/>
    <n v="31192"/>
    <s v="JXA5412"/>
    <d v="2026-08-28T00:00:00"/>
  </r>
  <r>
    <x v="9"/>
    <d v="2026-06-15T00:00:00"/>
    <x v="6"/>
    <x v="1"/>
    <s v="040323-0001-01"/>
    <s v="CALÇO DE EPS INFERIOR 21L 480X385X150MM"/>
    <x v="1"/>
    <s v="CALÇO"/>
    <s v="5616-01"/>
    <s v="MICRO-ONDAS MO-01-21-W 127V/60HZ ."/>
    <s v="MO 21L"/>
    <n v="41"/>
    <m/>
    <n v="-41"/>
    <d v="2026-08-31T00:00:00"/>
    <x v="22"/>
    <x v="3"/>
    <s v="Entrega direto na expedição"/>
    <m/>
    <m/>
    <m/>
  </r>
  <r>
    <x v="9"/>
    <d v="2026-06-15T00:00:00"/>
    <x v="6"/>
    <x v="1"/>
    <s v="040323-0003-01"/>
    <s v="CALÇO DE EPS SUPERIOR 21L 480X385X150MM"/>
    <x v="1"/>
    <s v="CALÇO"/>
    <s v="5616-01"/>
    <s v="MICRO-ONDAS MO-01-21-W 127V/60HZ ."/>
    <s v="MO 21L"/>
    <n v="41"/>
    <m/>
    <n v="-41"/>
    <d v="2026-08-31T00:00:00"/>
    <x v="22"/>
    <x v="3"/>
    <s v="Entrega direto na expedição"/>
    <m/>
    <m/>
    <m/>
  </r>
  <r>
    <x v="9"/>
    <d v="2026-06-15T00:00:00"/>
    <x v="6"/>
    <x v="1"/>
    <s v="030623-0002-02"/>
    <s v="RÓTULO DE IDENTIF WHITE 21L "/>
    <x v="1"/>
    <s v="ROTULO"/>
    <s v="5616-01"/>
    <s v="MICRO-ONDAS MO-01-21-W 127V/60HZ ."/>
    <s v="MO 21L"/>
    <n v="41"/>
    <m/>
    <n v="-41"/>
    <d v="2026-07-30T00:00:00"/>
    <x v="14"/>
    <x v="3"/>
    <s v="Reserva M220- Verificando com almoxarifado se possui paletes com quebra"/>
    <m/>
    <m/>
    <m/>
  </r>
  <r>
    <x v="9"/>
    <d v="2026-06-15T00:00:00"/>
    <x v="6"/>
    <x v="1"/>
    <s v="040323-0001-01"/>
    <s v="CALÇO DE EPS INFERIOR 21L 480X385X150MM"/>
    <x v="1"/>
    <s v="CALÇO"/>
    <s v="5616-02"/>
    <s v="MICRO-ONDAS MO-01-21-W 220V/60HZ"/>
    <s v="MO 21L"/>
    <n v="57"/>
    <m/>
    <n v="-57"/>
    <d v="2026-08-31T00:00:00"/>
    <x v="22"/>
    <x v="3"/>
    <s v="Entrega direto na expedição"/>
    <m/>
    <m/>
    <m/>
  </r>
  <r>
    <x v="9"/>
    <d v="2026-06-15T00:00:00"/>
    <x v="6"/>
    <x v="1"/>
    <s v="040323-0003-01"/>
    <s v="CALÇO DE EPS SUPERIOR 21L 480X385X150MM"/>
    <x v="1"/>
    <s v="CALÇO"/>
    <s v="5616-02"/>
    <s v="MICRO-ONDAS MO-01-21-W 220V/60HZ"/>
    <s v="MO 21L"/>
    <n v="57"/>
    <m/>
    <n v="-57"/>
    <d v="2026-08-31T00:00:00"/>
    <x v="22"/>
    <x v="3"/>
    <s v="Entrega direto na expedição"/>
    <m/>
    <m/>
    <m/>
  </r>
  <r>
    <x v="9"/>
    <d v="2026-06-15T00:00:00"/>
    <x v="6"/>
    <x v="1"/>
    <s v="030623-0002-02"/>
    <s v="RÓTULO DE IDENTIF WHITE 21L "/>
    <x v="1"/>
    <s v="ROTULO"/>
    <s v="5616-02"/>
    <s v="MICRO-ONDAS MO-01-21-W 220V/60HZ"/>
    <s v="MO 21L"/>
    <n v="57"/>
    <m/>
    <n v="-57"/>
    <d v="2026-07-30T00:00:00"/>
    <x v="14"/>
    <x v="3"/>
    <s v="Reserva M220- Verificando com almoxarifado se possui paletes com quebra"/>
    <m/>
    <m/>
    <m/>
  </r>
  <r>
    <x v="9"/>
    <d v="2026-06-15T00:00:00"/>
    <x v="6"/>
    <x v="1"/>
    <s v="040323-0001-01"/>
    <s v="CALÇO DE EPS INFERIOR 21L 480X385X150MM"/>
    <x v="1"/>
    <s v="CALÇO"/>
    <s v="5616-03"/>
    <s v="MICRO-ONDAS MO-01-21-W 127V/60HZ ."/>
    <s v="MO 21L"/>
    <n v="131"/>
    <m/>
    <n v="-131"/>
    <d v="2026-08-31T00:00:00"/>
    <x v="22"/>
    <x v="3"/>
    <s v="Entrega direto na expedição"/>
    <m/>
    <m/>
    <m/>
  </r>
  <r>
    <x v="9"/>
    <d v="2026-06-15T00:00:00"/>
    <x v="6"/>
    <x v="1"/>
    <s v="040323-0003-01"/>
    <s v="CALÇO DE EPS SUPERIOR 21L 480X385X150MM"/>
    <x v="1"/>
    <s v="CALÇO"/>
    <s v="5616-03"/>
    <s v="MICRO-ONDAS MO-01-21-W 127V/60HZ ."/>
    <s v="MO 21L"/>
    <n v="131"/>
    <m/>
    <n v="-131"/>
    <d v="2026-08-31T00:00:00"/>
    <x v="22"/>
    <x v="3"/>
    <s v="Entrega direto na expedição"/>
    <m/>
    <m/>
    <m/>
  </r>
  <r>
    <x v="9"/>
    <d v="2026-06-15T00:00:00"/>
    <x v="6"/>
    <x v="1"/>
    <s v="030623-0007-01"/>
    <s v="RÓTULO DE IDENTIF WHITE 21L 450X250MM"/>
    <x v="1"/>
    <s v="ROTULO"/>
    <s v="5616-03"/>
    <s v="MICRO-ONDAS MO-01-21-W 127V/60HZ ."/>
    <s v="MO 21L"/>
    <n v="131"/>
    <m/>
    <n v="-131"/>
    <d v="2026-07-30T00:00:00"/>
    <x v="14"/>
    <x v="3"/>
    <s v="Reserva M220- Verificando com almoxarifado se possui paletes com quebra"/>
    <m/>
    <m/>
    <m/>
  </r>
  <r>
    <x v="9"/>
    <d v="2026-06-15T00:00:00"/>
    <x v="6"/>
    <x v="1"/>
    <s v="040323-0006-01"/>
    <s v="CALÇO DE EPS INFERIOR 34L "/>
    <x v="1"/>
    <s v="CALÇO"/>
    <s v="5617-01"/>
    <s v="MICRO-ONDAS MO-02-34-W 127V/60HZ ."/>
    <s v="MO 34L"/>
    <n v="1"/>
    <n v="1"/>
    <n v="0"/>
    <d v="2026-08-07T00:00:00"/>
    <x v="11"/>
    <x v="0"/>
    <s v="NF 02"/>
    <n v="31177"/>
    <s v="JMF3A55"/>
    <d v="2026-08-26T00:00:00"/>
  </r>
  <r>
    <x v="9"/>
    <d v="2026-06-15T00:00:00"/>
    <x v="6"/>
    <x v="1"/>
    <s v="040323-0005-01"/>
    <s v="CALÇO DE EPS SUPERIOR 34L "/>
    <x v="1"/>
    <s v="CALÇO"/>
    <s v="5617-01"/>
    <s v="MICRO-ONDAS MO-02-34-W 127V/60HZ ."/>
    <s v="MO 34L"/>
    <n v="1"/>
    <n v="1"/>
    <n v="0"/>
    <d v="2026-08-07T00:00:00"/>
    <x v="11"/>
    <x v="0"/>
    <s v="NF 02"/>
    <n v="31177"/>
    <s v="JMF3A55"/>
    <d v="2026-08-26T00:00:00"/>
  </r>
  <r>
    <x v="9"/>
    <d v="2026-06-15T00:00:00"/>
    <x v="6"/>
    <x v="1"/>
    <s v="030623-0004-01"/>
    <s v="RÓTULO DE IDENTIF WHITE 34L 530X285MM"/>
    <x v="1"/>
    <s v="ROTULO"/>
    <s v="5617-01"/>
    <s v="MICRO-ONDAS MO-02-34-W 127V/60HZ ."/>
    <s v="MO 34L"/>
    <n v="1"/>
    <m/>
    <n v="-1"/>
    <d v="2026-07-30T00:00:00"/>
    <x v="14"/>
    <x v="3"/>
    <s v="Reserva M220- Verificando com almoxarifado se possui paletes com quebra"/>
    <m/>
    <m/>
    <m/>
  </r>
  <r>
    <x v="9"/>
    <d v="2026-06-15T00:00:00"/>
    <x v="6"/>
    <x v="1"/>
    <s v="040323-0006-01"/>
    <s v="CALÇO DE EPS INFERIOR 34L "/>
    <x v="1"/>
    <s v="CALÇO"/>
    <s v="5617-03"/>
    <s v="MICRO-ONDAS MO-02-34-W 127V/60HZ ."/>
    <s v="MO 34L"/>
    <n v="8"/>
    <n v="8"/>
    <n v="0"/>
    <d v="2026-08-07T00:00:00"/>
    <x v="11"/>
    <x v="0"/>
    <s v="NF 02"/>
    <n v="31177"/>
    <s v="JMF3A55"/>
    <d v="2026-08-26T00:00:00"/>
  </r>
  <r>
    <x v="9"/>
    <d v="2026-06-15T00:00:00"/>
    <x v="6"/>
    <x v="1"/>
    <s v="040323-0005-01"/>
    <s v="CALÇO DE EPS SUPERIOR 34L "/>
    <x v="1"/>
    <s v="CALÇO"/>
    <s v="5617-03"/>
    <s v="MICRO-ONDAS MO-02-34-W 127V/60HZ ."/>
    <s v="MO 34L"/>
    <n v="8"/>
    <n v="8"/>
    <n v="0"/>
    <d v="2026-08-07T00:00:00"/>
    <x v="11"/>
    <x v="0"/>
    <s v="NF 02"/>
    <n v="31177"/>
    <s v="JMF3A55"/>
    <d v="2026-08-26T00:00:00"/>
  </r>
  <r>
    <x v="9"/>
    <d v="2026-06-15T00:00:00"/>
    <x v="6"/>
    <x v="1"/>
    <s v="030623-0009-01"/>
    <s v="RÓTULO DE IDENTIF WHITE 34L 530X285MM"/>
    <x v="1"/>
    <s v="ROTULO"/>
    <s v="5617-03"/>
    <s v="MICRO-ONDAS MO-02-34-W 127V/60HZ ."/>
    <s v="MO 34L"/>
    <n v="8"/>
    <m/>
    <n v="-8"/>
    <d v="2026-07-30T00:00:00"/>
    <x v="14"/>
    <x v="3"/>
    <s v="Reserva M220- Verificando com almoxarifado se possui paletes com quebra"/>
    <m/>
    <m/>
    <m/>
  </r>
  <r>
    <x v="9"/>
    <d v="2026-06-15T00:00:00"/>
    <x v="6"/>
    <x v="1"/>
    <s v="040323-0006-01"/>
    <s v="CALÇO DE EPS INFERIOR 34L "/>
    <x v="1"/>
    <s v="CALÇO"/>
    <s v="5617-04"/>
    <s v="MICRO-ONDAS MO-02-34-W 220V/60HZ ."/>
    <s v="MO 34L"/>
    <n v="24"/>
    <n v="24"/>
    <n v="0"/>
    <d v="2026-08-07T00:00:00"/>
    <x v="11"/>
    <x v="0"/>
    <s v="NF 02"/>
    <n v="31177"/>
    <s v="JMF3A55"/>
    <d v="2026-08-26T00:00:00"/>
  </r>
  <r>
    <x v="9"/>
    <d v="2026-06-15T00:00:00"/>
    <x v="6"/>
    <x v="1"/>
    <s v="040323-0005-01"/>
    <s v="CALÇO DE EPS SUPERIOR 34L "/>
    <x v="1"/>
    <s v="CALÇO"/>
    <s v="5617-04"/>
    <s v="MICRO-ONDAS MO-02-34-W 220V/60HZ ."/>
    <s v="MO 34L"/>
    <n v="24"/>
    <n v="24"/>
    <n v="0"/>
    <d v="2026-08-07T00:00:00"/>
    <x v="11"/>
    <x v="0"/>
    <s v="NF 02"/>
    <n v="31177"/>
    <s v="JMF3A55"/>
    <d v="2026-08-26T00:00:00"/>
  </r>
  <r>
    <x v="9"/>
    <d v="2026-06-15T00:00:00"/>
    <x v="6"/>
    <x v="1"/>
    <s v="030623-0009-01"/>
    <s v="RÓTULO DE IDENTIF WHITE 34L 530X285MM"/>
    <x v="1"/>
    <s v="ROTULO"/>
    <s v="5617-04"/>
    <s v="MICRO-ONDAS MO-02-34-W 220V/60HZ ."/>
    <s v="MO 34L"/>
    <n v="24"/>
    <m/>
    <n v="-24"/>
    <d v="2026-07-30T00:00:00"/>
    <x v="14"/>
    <x v="3"/>
    <s v="Reserva M220- Verificando com almoxarifado se possui paletes com quebra"/>
    <m/>
    <m/>
    <m/>
  </r>
  <r>
    <x v="9"/>
    <d v="2026-06-15T00:00:00"/>
    <x v="6"/>
    <x v="1"/>
    <s v="040323-0006-01"/>
    <s v="CALÇO DE EPS INFERIOR 34L "/>
    <x v="1"/>
    <s v="CALÇO"/>
    <s v="5618-01"/>
    <s v="MICRO-ONDAS MO-02-34-E 127V/60HZ ."/>
    <s v="MO 34L"/>
    <n v="37"/>
    <n v="37"/>
    <n v="0"/>
    <d v="2026-08-07T00:00:00"/>
    <x v="11"/>
    <x v="0"/>
    <s v="NF 02"/>
    <n v="31177"/>
    <s v="JMF3A55"/>
    <d v="2026-08-26T00:00:00"/>
  </r>
  <r>
    <x v="9"/>
    <d v="2026-06-15T00:00:00"/>
    <x v="6"/>
    <x v="1"/>
    <s v="040323-0005-01"/>
    <s v="CALÇO DE EPS SUPERIOR 34L "/>
    <x v="1"/>
    <s v="CALÇO"/>
    <s v="5618-01"/>
    <s v="MICRO-ONDAS MO-02-34-E 127V/60HZ ."/>
    <s v="MO 34L"/>
    <n v="37"/>
    <n v="37"/>
    <n v="0"/>
    <d v="2026-08-07T00:00:00"/>
    <x v="11"/>
    <x v="0"/>
    <s v="NF 02"/>
    <n v="31177"/>
    <s v="JMF3A55"/>
    <d v="2026-08-26T00:00:00"/>
  </r>
  <r>
    <x v="9"/>
    <d v="2026-06-15T00:00:00"/>
    <x v="6"/>
    <x v="1"/>
    <s v="030623-0003-02"/>
    <s v="RÓTULO DE IDENTIF MIRROR 34L 530X285MM"/>
    <x v="1"/>
    <s v="ROTULO"/>
    <s v="5618-01"/>
    <s v="MICRO-ONDAS MO-02-34-E 127V/60HZ ."/>
    <s v="MO 34L"/>
    <n v="37"/>
    <m/>
    <n v="-37"/>
    <m/>
    <x v="3"/>
    <x v="2"/>
    <s v="Sem saldo, não pode usar o modelo atual; Fazer pedido por e-mail"/>
    <m/>
    <m/>
    <m/>
  </r>
  <r>
    <x v="9"/>
    <d v="2026-06-15T00:00:00"/>
    <x v="6"/>
    <x v="1"/>
    <s v="040323-0006-01"/>
    <s v="CALÇO DE EPS INFERIOR 34L "/>
    <x v="1"/>
    <s v="CALÇO"/>
    <s v="5618-02"/>
    <s v="MICRO-ONDAS MO-02-34-E 220V/60HZ ."/>
    <s v="MO 34L"/>
    <n v="4"/>
    <n v="4"/>
    <n v="0"/>
    <d v="2026-08-07T00:00:00"/>
    <x v="11"/>
    <x v="0"/>
    <s v="NF 02"/>
    <n v="31177"/>
    <s v="JMF3A55"/>
    <d v="2026-08-26T00:00:00"/>
  </r>
  <r>
    <x v="9"/>
    <d v="2026-06-15T00:00:00"/>
    <x v="6"/>
    <x v="1"/>
    <s v="040323-0005-01"/>
    <s v="CALÇO DE EPS SUPERIOR 34L "/>
    <x v="1"/>
    <s v="CALÇO"/>
    <s v="5618-02"/>
    <s v="MICRO-ONDAS MO-02-34-E 220V/60HZ ."/>
    <s v="MO 34L"/>
    <n v="4"/>
    <n v="4"/>
    <n v="0"/>
    <d v="2026-08-07T00:00:00"/>
    <x v="11"/>
    <x v="0"/>
    <s v="NF 02"/>
    <n v="31177"/>
    <s v="JMF3A55"/>
    <d v="2026-08-26T00:00:00"/>
  </r>
  <r>
    <x v="9"/>
    <d v="2026-06-15T00:00:00"/>
    <x v="6"/>
    <x v="1"/>
    <s v="030623-0003-02"/>
    <s v="RÓTULO DE IDENTIF MIRROR 34L 530X285MM"/>
    <x v="1"/>
    <s v="ROTULO"/>
    <s v="5618-02"/>
    <s v="MICRO-ONDAS MO-02-34-E 220V/60HZ ."/>
    <s v="MO 34L"/>
    <n v="4"/>
    <m/>
    <n v="-4"/>
    <m/>
    <x v="3"/>
    <x v="2"/>
    <s v="Sem saldo, não pode usar o modelo atual; Fazer pedido por e-mail"/>
    <m/>
    <m/>
    <m/>
  </r>
  <r>
    <x v="9"/>
    <d v="2026-06-15T00:00:00"/>
    <x v="6"/>
    <x v="1"/>
    <s v="020317-0002-01"/>
    <s v="ETQ LACRE DA EMBALAGEM TRANSP AWS-BBS-01"/>
    <x v="1"/>
    <s v="LACRE"/>
    <s v="9531-01"/>
    <s v="BOOMBOX C/ LUZES AWS-BBS-01-LBL BIVOLT"/>
    <s v="BBS LBL"/>
    <n v="10"/>
    <n v="10"/>
    <n v="0"/>
    <d v="2026-08-19T00:00:00"/>
    <x v="14"/>
    <x v="3"/>
    <s v="Fazer reserva "/>
    <m/>
    <m/>
    <m/>
  </r>
  <r>
    <x v="10"/>
    <d v="2026-06-25T00:00:00"/>
    <x v="5"/>
    <x v="1"/>
    <s v="020317-0002-01"/>
    <s v="ETQ LACRE DA EMBALAGEM TRANSP AWS-BBS-01"/>
    <x v="1"/>
    <s v="LACRE"/>
    <s v="4899-01"/>
    <s v="BOOMBOX AWS-BBS-01-B BIVOLT"/>
    <s v="BBS PRETO"/>
    <n v="4500"/>
    <n v="4500"/>
    <n v="0"/>
    <d v="2026-07-08T00:00:00"/>
    <x v="24"/>
    <x v="0"/>
    <m/>
    <n v="30986"/>
    <s v="QZD4B87"/>
    <d v="2026-07-30T00:00:00"/>
  </r>
  <r>
    <x v="11"/>
    <d v="2026-06-25T00:00:00"/>
    <x v="0"/>
    <x v="0"/>
    <s v="040122-0018-01"/>
    <s v="CX DE EMBALAGEM INDIVIDUAL TV55&quot; - TEMP"/>
    <x v="0"/>
    <s v="CAIXA INDIVIDUAL"/>
    <s v="5504-02"/>
    <s v="TV 55 ANDROID AWS-TV-55-BL-01"/>
    <s v="TV 55 ANDROID"/>
    <n v="200"/>
    <m/>
    <n v="-200"/>
    <d v="2026-08-18T00:00:00"/>
    <x v="14"/>
    <x v="3"/>
    <s v="Fazer reserva "/>
    <m/>
    <m/>
    <m/>
  </r>
  <r>
    <x v="11"/>
    <d v="2026-06-25T00:00:00"/>
    <x v="0"/>
    <x v="0"/>
    <s v="040122-0017-01"/>
    <s v="CX DE EMBALAGEM INDIVIDUAL TV50&quot;"/>
    <x v="0"/>
    <s v="CAIXA INDIVIDUAL"/>
    <s v="5026-02"/>
    <s v="TV 50 ANDROID BORD INF AWS-TV-50-BL-02-A"/>
    <s v="TV 50 ANDROID"/>
    <n v="190"/>
    <n v="300"/>
    <n v="110"/>
    <m/>
    <x v="14"/>
    <x v="3"/>
    <s v="Trazer supplog-Solicitado"/>
    <m/>
    <m/>
    <m/>
  </r>
  <r>
    <x v="11"/>
    <d v="2026-06-25T00:00:00"/>
    <x v="0"/>
    <x v="0"/>
    <s v="020317-0002-01"/>
    <s v="ETQ LACRE DA EMBALAGEM TRANSP AWS-BBS-01"/>
    <x v="1"/>
    <s v="LACRE"/>
    <s v="4899-01"/>
    <s v="BOOMBOX AWS-BBS-01-B BIVOLT"/>
    <s v="BBS PRETO"/>
    <n v="3000"/>
    <n v="3000"/>
    <n v="0"/>
    <d v="2026-08-07T00:00:00"/>
    <x v="21"/>
    <x v="0"/>
    <s v="NF 05"/>
    <n v="31194"/>
    <s v="JXA5412"/>
    <d v="2026-08-28T00:00:00"/>
  </r>
  <r>
    <x v="12"/>
    <d v="2026-07-30T00:00:00"/>
    <x v="7"/>
    <x v="0"/>
    <s v="040117-0002-02"/>
    <s v="CX DE EMBALAGEM INDIVIDUAL AWS-BBS-01-B"/>
    <x v="0"/>
    <s v="CAIXA INDIVIDUAL"/>
    <s v="4899-01"/>
    <s v="BOOMBOX AWS-BBS-01-B BIVOLT"/>
    <s v="BBS PRETO"/>
    <n v="600"/>
    <n v="600"/>
    <n v="0"/>
    <d v="2026-07-30T00:00:00"/>
    <x v="21"/>
    <x v="0"/>
    <s v="NF 07"/>
    <n v="31205"/>
    <s v="JXA5412"/>
    <d v="2026-08-28T00:00:00"/>
  </r>
  <r>
    <x v="12"/>
    <d v="2026-07-30T00:00:00"/>
    <x v="7"/>
    <x v="0"/>
    <s v="040117-0002-02"/>
    <s v="CX DE EMBALAGEM INDIVIDUAL AWS-BBS-01-B"/>
    <x v="0"/>
    <s v="CAIXA INDIVIDUAL"/>
    <s v="4899-01"/>
    <s v="BOOMBOX AWS-BBS-01-B BIVOLT"/>
    <s v="BBS PRETO"/>
    <n v="1995"/>
    <n v="1995"/>
    <n v="0"/>
    <d v="2026-08-07T00:00:00"/>
    <x v="21"/>
    <x v="0"/>
    <s v="NF 05"/>
    <n v="31194"/>
    <s v="JXA5412"/>
    <d v="2026-08-28T00:00:00"/>
  </r>
  <r>
    <x v="12"/>
    <d v="2026-07-30T00:00:00"/>
    <x v="7"/>
    <x v="0"/>
    <s v="020317-0002-01"/>
    <s v="ETQ LACRE DA EMBALAGEM TRANSP AWS-BBS-01"/>
    <x v="1"/>
    <s v="LACRE"/>
    <s v="4899-01"/>
    <s v="BOOMBOX AWS-BBS-01-B BIVOLT"/>
    <s v="BBS PRETO"/>
    <n v="3990"/>
    <n v="3990"/>
    <n v="0"/>
    <d v="2026-08-19T00:00:00"/>
    <x v="14"/>
    <x v="3"/>
    <s v="Fazer reserva "/>
    <m/>
    <m/>
    <m/>
  </r>
  <r>
    <x v="12"/>
    <d v="2026-07-30T00:00:00"/>
    <x v="7"/>
    <x v="0"/>
    <s v="040117-0002-02"/>
    <s v="CX DE EMBALAGEM INDIVIDUAL AWS-BBS-01-B"/>
    <x v="0"/>
    <s v="CAIXA INDIVIDUAL"/>
    <s v="4899-01"/>
    <s v="BOOMBOX AWS-BBS-01-B BIVOLT"/>
    <s v="BBS PRETO"/>
    <n v="77"/>
    <n v="77"/>
    <n v="0"/>
    <d v="2026-08-07T00:00:00"/>
    <x v="21"/>
    <x v="0"/>
    <s v="NF 05"/>
    <n v="31194"/>
    <s v="JXA5412"/>
    <d v="2026-08-28T00:00:00"/>
  </r>
  <r>
    <x v="12"/>
    <d v="2026-07-30T00:00:00"/>
    <x v="7"/>
    <x v="0"/>
    <s v="020317-0002-01"/>
    <s v="ETQ LACRE DA EMBALAGEM TRANSP AWS-BBS-01"/>
    <x v="1"/>
    <s v="LACRE"/>
    <s v="4899-01"/>
    <s v="BOOMBOX AWS-BBS-01-B BIVOLT"/>
    <s v="BBS PRETO"/>
    <n v="154"/>
    <n v="154"/>
    <n v="0"/>
    <d v="2026-08-19T00:00:00"/>
    <x v="14"/>
    <x v="3"/>
    <s v="Fazer reserva "/>
    <m/>
    <m/>
    <m/>
  </r>
  <r>
    <x v="12"/>
    <d v="2026-07-30T00:00:00"/>
    <x v="7"/>
    <x v="0"/>
    <s v="040117-0002-02"/>
    <s v="CX DE EMBALAGEM INDIVIDUAL AWS-BBS-01-B"/>
    <x v="0"/>
    <s v="CAIXA INDIVIDUAL"/>
    <s v="4899-01"/>
    <s v="BOOMBOX AWS-BBS-01-B BIVOLT"/>
    <s v="BBS PRETO"/>
    <n v="2576"/>
    <m/>
    <n v="-2576"/>
    <d v="2026-08-24T00:00:00"/>
    <x v="14"/>
    <x v="3"/>
    <s v="Verificar com Joao antes de fazer reserva"/>
    <m/>
    <m/>
    <m/>
  </r>
  <r>
    <x v="13"/>
    <d v="2026-08-04T00:00:00"/>
    <x v="7"/>
    <x v="0"/>
    <s v="040117-0004-01"/>
    <s v="CX DE EMBALAGEM INDIVIDUAL AWS-BBS-01-BG"/>
    <x v="0"/>
    <s v="CAIXA INDIVIDUAL"/>
    <s v="5782-01"/>
    <s v="BOOMBOX AWS-BBS-01-BG BIVOLT"/>
    <s v="BBS BG"/>
    <n v="959"/>
    <n v="1200"/>
    <n v="241"/>
    <d v="2026-08-18T00:00:00"/>
    <x v="18"/>
    <x v="0"/>
    <s v="NF 10"/>
    <n v="31242"/>
    <s v="BSF6536"/>
    <d v="2026-09-04T00:00:00"/>
  </r>
  <r>
    <x v="13"/>
    <d v="2026-08-04T00:00:00"/>
    <x v="7"/>
    <x v="0"/>
    <s v="020317-0002-01"/>
    <s v="ETQ LACRE DA EMBALAGEM TRANSP AWS-BBS-01"/>
    <x v="1"/>
    <s v="LACRE"/>
    <s v="5782-01"/>
    <s v="BOOMBOX AWS-BBS-01-BG BIVOLT"/>
    <s v="BBS BG"/>
    <n v="700"/>
    <n v="700"/>
    <n v="0"/>
    <d v="2026-08-19T00:00:00"/>
    <x v="14"/>
    <x v="3"/>
    <s v="Fazer reserva "/>
    <m/>
    <m/>
    <m/>
  </r>
  <r>
    <x v="13"/>
    <d v="2026-08-04T00:00:00"/>
    <x v="7"/>
    <x v="0"/>
    <s v="020317-0002-01"/>
    <s v="ETQ LACRE DA EMBALAGEM TRANSP AWS-BBS-01"/>
    <x v="1"/>
    <s v="LACRE"/>
    <s v="5782-01"/>
    <s v="BOOMBOX AWS-BBS-01-BG BIVOLT"/>
    <s v="BBS BG"/>
    <n v="1218"/>
    <n v="1218"/>
    <n v="0"/>
    <d v="2026-08-19T00:00:00"/>
    <x v="14"/>
    <x v="3"/>
    <s v="Fazer reserva "/>
    <m/>
    <m/>
    <m/>
  </r>
  <r>
    <x v="14"/>
    <d v="2026-08-11T00:00:00"/>
    <x v="8"/>
    <x v="0"/>
    <s v="040117-0002-02"/>
    <s v="CX DE EMBALAGEM INDIVIDUAL AWS-BBS-01-B"/>
    <x v="0"/>
    <s v="CAIXA INDIVIDUAL"/>
    <s v="4899-01"/>
    <s v="BOOMBOX AWS-BBS-01-B BIVOLT"/>
    <s v="BBS PRETO"/>
    <n v="2000"/>
    <m/>
    <n v="-2000"/>
    <d v="2026-08-27T00:00:00"/>
    <x v="25"/>
    <x v="3"/>
    <s v="Joao, em pedido"/>
    <m/>
    <m/>
    <m/>
  </r>
  <r>
    <x v="14"/>
    <d v="2026-08-11T00:00:00"/>
    <x v="8"/>
    <x v="0"/>
    <s v="020317-0002-01"/>
    <s v="ETQ LACRE DA EMBALAGEM TRANSP AWS-BBS-01"/>
    <x v="1"/>
    <s v="LACRE"/>
    <s v="4899-01"/>
    <s v="BOOMBOX AWS-BBS-01-B BIVOLT"/>
    <s v="BBS PRETO"/>
    <n v="4000"/>
    <n v="4000"/>
    <n v="0"/>
    <d v="2026-08-19T00:00:00"/>
    <x v="14"/>
    <x v="3"/>
    <s v="Fazer reserva "/>
    <m/>
    <m/>
    <m/>
  </r>
  <r>
    <x v="14"/>
    <d v="2026-08-11T00:00:00"/>
    <x v="8"/>
    <x v="0"/>
    <s v="040117-0005-01"/>
    <s v="CX DE EMBALAGEM INDIVIDUAL AWS-BBS-01-LB"/>
    <x v="0"/>
    <s v="CAIXA INDIVIDUAL"/>
    <s v="9531-01"/>
    <s v="BOOMBOX C/ LUZES AWS-BBS-01-LBL BIVOLT"/>
    <s v="BBS LBL"/>
    <n v="228"/>
    <m/>
    <n v="-228"/>
    <d v="2026-08-19T00:00:00"/>
    <x v="14"/>
    <x v="3"/>
    <s v="Fazer reserva "/>
    <m/>
    <m/>
    <m/>
  </r>
  <r>
    <x v="14"/>
    <d v="2026-08-11T00:00:00"/>
    <x v="8"/>
    <x v="0"/>
    <s v="020317-0002-01"/>
    <s v="ETQ LACRE DA EMBALAGEM TRANSP AWS-BBS-01"/>
    <x v="1"/>
    <s v="LACRE"/>
    <s v="9531-01"/>
    <s v="BOOMBOX C/ LUZES AWS-BBS-01-LBL BIVOLT"/>
    <s v="BBS LBL"/>
    <n v="456"/>
    <n v="456"/>
    <n v="0"/>
    <d v="2026-08-19T00:00:00"/>
    <x v="14"/>
    <x v="3"/>
    <s v="Fazer reserva "/>
    <m/>
    <m/>
    <m/>
  </r>
  <r>
    <x v="14"/>
    <d v="2026-08-11T00:00:00"/>
    <x v="8"/>
    <x v="0"/>
    <s v="040125-0012-01"/>
    <s v="CX DE EMBALAGEM INDIVIDUAL CM-400"/>
    <x v="0"/>
    <s v="CAIXA INDIVIDUAL"/>
    <s v="0685-04"/>
    <s v="CAIXA AMPLIFICADA CM-400 BIVOLT ."/>
    <s v="CM 400"/>
    <n v="1060"/>
    <m/>
    <n v="-1060"/>
    <m/>
    <x v="14"/>
    <x v="3"/>
    <s v="Fazer reserva "/>
    <m/>
    <m/>
    <m/>
  </r>
  <r>
    <x v="14"/>
    <d v="2026-08-11T00:00:00"/>
    <x v="8"/>
    <x v="0"/>
    <s v="040125-0029-02"/>
    <s v="CX DE EMBALAGEM INDIVIDUAL CM-400-L"/>
    <x v="0"/>
    <s v="CAIXA INDIVIDUAL"/>
    <s v="8998-01"/>
    <s v="CAIXA AMPLIFICADA CM-400-L BIVOLT ."/>
    <s v="CM 400L"/>
    <n v="324"/>
    <m/>
    <n v="-324"/>
    <d v="2026-08-19T00:00:00"/>
    <x v="14"/>
    <x v="3"/>
    <s v="Fazer reserva "/>
    <m/>
    <m/>
    <m/>
  </r>
  <r>
    <x v="14"/>
    <d v="2026-08-11T00:00:00"/>
    <x v="8"/>
    <x v="0"/>
    <s v="040225-0004-01"/>
    <s v="CX DE EMBALAGEM COLETIVA CM-400-L"/>
    <x v="0"/>
    <s v="CAIXA COLETIVA"/>
    <s v="8998-01"/>
    <s v="CAIXA AMPLIFICADA CM-400-L BIVOLT ."/>
    <s v="CM 400L"/>
    <n v="81"/>
    <m/>
    <n v="-81"/>
    <m/>
    <x v="3"/>
    <x v="2"/>
    <s v="Solicitar compra por e-mail"/>
    <m/>
    <m/>
    <m/>
  </r>
  <r>
    <x v="14"/>
    <d v="2026-08-11T00:00:00"/>
    <x v="8"/>
    <x v="0"/>
    <s v="040125-0039-01"/>
    <s v="CX DE EMBALAGEM INDIVIDUAL CM-500-N"/>
    <x v="0"/>
    <s v="CAIXA INDIVIDUAL"/>
    <s v="7043-01"/>
    <s v="CAIXA AMPLIFICADA CM-500-N BIV."/>
    <s v="CM 500N"/>
    <n v="1421"/>
    <m/>
    <n v="-1421"/>
    <d v="2026-09-10T00:00:00"/>
    <x v="26"/>
    <x v="3"/>
    <s v="Joao, em pedido"/>
    <m/>
    <m/>
    <m/>
  </r>
  <r>
    <x v="14"/>
    <d v="2026-08-11T00:00:00"/>
    <x v="8"/>
    <x v="0"/>
    <s v="040125-0030-01"/>
    <s v="CX DE EMBALAGEM INDIVIDUAL CM-550-L"/>
    <x v="0"/>
    <s v="CAIXA INDIVIDUAL"/>
    <s v="8999-01"/>
    <s v="CAIXA AMPLIFICADA CM-550-L BIVOLT ."/>
    <s v="CM 550L"/>
    <n v="1330"/>
    <m/>
    <n v="-1330"/>
    <d v="2026-09-21T00:00:00"/>
    <x v="23"/>
    <x v="3"/>
    <s v="Joao, em pedido"/>
    <m/>
    <m/>
    <m/>
  </r>
  <r>
    <x v="14"/>
    <d v="2026-08-11T00:00:00"/>
    <x v="8"/>
    <x v="0"/>
    <s v="040125-0040-01"/>
    <s v="CX DE EMBALAGEM INDIVIDUAL CM-650-N"/>
    <x v="0"/>
    <s v="CAIXA INDIVIDUAL"/>
    <s v="7044-01"/>
    <s v="CAIXA AMPLIFICADA CM-650-N BIV."/>
    <s v="CM650N"/>
    <n v="85"/>
    <n v="85"/>
    <n v="0"/>
    <d v="2026-08-18T00:00:00"/>
    <x v="18"/>
    <x v="0"/>
    <s v="NF 10"/>
    <n v="31242"/>
    <s v="BSF6536"/>
    <d v="2026-09-04T00:00:00"/>
  </r>
  <r>
    <x v="14"/>
    <d v="2026-08-11T00:00:00"/>
    <x v="8"/>
    <x v="0"/>
    <s v="040122-0015-01"/>
    <s v="CX DE EMBALAGEM INDIVIDUAL ANDROID 32"/>
    <x v="0"/>
    <s v="CAIXA INDIVIDUAL"/>
    <s v="8832-02"/>
    <s v="TV 32 ANDROID BORD INF AWS-TV-32-BL-02-A"/>
    <s v="TV 32 ANDROID"/>
    <n v="1781"/>
    <m/>
    <n v="-1781"/>
    <d v="2026-08-19T00:00:00"/>
    <x v="14"/>
    <x v="3"/>
    <s v="Fazer reserva "/>
    <m/>
    <m/>
    <m/>
  </r>
  <r>
    <x v="14"/>
    <d v="2026-08-11T00:00:00"/>
    <x v="8"/>
    <x v="0"/>
    <s v="040125-0040-02"/>
    <s v="CX DE EMBALAGEM INDIVIDUAL CM-650-N"/>
    <x v="0"/>
    <s v="CAIXA INDIVIDUAL"/>
    <s v="7044-01"/>
    <s v="CAIXA AMPLIFICADA CM-650-N BIV."/>
    <s v="CM650N"/>
    <n v="167"/>
    <m/>
    <n v="-167"/>
    <m/>
    <x v="14"/>
    <x v="3"/>
    <s v="Fazer reserva "/>
    <m/>
    <m/>
    <m/>
  </r>
  <r>
    <x v="15"/>
    <m/>
    <x v="9"/>
    <x v="3"/>
    <m/>
    <m/>
    <x v="2"/>
    <m/>
    <m/>
    <m/>
    <m/>
    <m/>
    <m/>
    <m/>
    <m/>
    <x v="3"/>
    <x v="4"/>
    <m/>
    <m/>
    <m/>
    <m/>
  </r>
  <r>
    <x v="15"/>
    <m/>
    <x v="9"/>
    <x v="3"/>
    <m/>
    <m/>
    <x v="2"/>
    <m/>
    <m/>
    <m/>
    <m/>
    <m/>
    <m/>
    <m/>
    <m/>
    <x v="3"/>
    <x v="4"/>
    <m/>
    <m/>
    <m/>
    <m/>
  </r>
  <r>
    <x v="15"/>
    <m/>
    <x v="9"/>
    <x v="3"/>
    <m/>
    <m/>
    <x v="2"/>
    <m/>
    <m/>
    <m/>
    <m/>
    <m/>
    <m/>
    <m/>
    <m/>
    <x v="3"/>
    <x v="4"/>
    <m/>
    <m/>
    <m/>
    <m/>
  </r>
  <r>
    <x v="15"/>
    <m/>
    <x v="9"/>
    <x v="3"/>
    <m/>
    <m/>
    <x v="2"/>
    <m/>
    <m/>
    <m/>
    <m/>
    <m/>
    <m/>
    <m/>
    <m/>
    <x v="3"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8A8DB-9C06-4CAE-B097-BFA2141F484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ATA COMPRAS">
  <location ref="A4:E341" firstHeaderRow="1" firstDataRow="1" firstDataCol="4" rowPageCount="2" colPageCount="1"/>
  <pivotFields count="18">
    <pivotField showAll="0"/>
    <pivotField showAll="0"/>
    <pivotField showAll="0"/>
    <pivotField showAll="0"/>
    <pivotField axis="axisRow" outline="0" showAll="0" defaultSubtotal="0">
      <items count="91">
        <item x="86"/>
        <item x="38"/>
        <item x="43"/>
        <item x="48"/>
        <item x="50"/>
        <item x="45"/>
        <item x="41"/>
        <item x="44"/>
        <item x="49"/>
        <item x="51"/>
        <item x="42"/>
        <item x="24"/>
        <item x="55"/>
        <item x="57"/>
        <item x="60"/>
        <item x="62"/>
        <item x="3"/>
        <item m="1" x="90"/>
        <item x="0"/>
        <item x="2"/>
        <item x="1"/>
        <item x="7"/>
        <item x="80"/>
        <item x="69"/>
        <item x="70"/>
        <item x="64"/>
        <item x="66"/>
        <item x="73"/>
        <item x="72"/>
        <item x="74"/>
        <item x="65"/>
        <item x="67"/>
        <item x="68"/>
        <item x="71"/>
        <item x="14"/>
        <item x="21"/>
        <item x="75"/>
        <item x="25"/>
        <item x="18"/>
        <item x="16"/>
        <item x="22"/>
        <item x="58"/>
        <item x="12"/>
        <item x="56"/>
        <item x="59"/>
        <item x="61"/>
        <item x="63"/>
        <item x="76"/>
        <item x="85"/>
        <item x="23"/>
        <item x="81"/>
        <item x="82"/>
        <item x="87"/>
        <item x="83"/>
        <item x="84"/>
        <item x="11"/>
        <item x="15"/>
        <item x="77"/>
        <item x="40"/>
        <item x="39"/>
        <item x="47"/>
        <item x="46"/>
        <item x="78"/>
        <item x="29"/>
        <item x="31"/>
        <item x="28"/>
        <item x="27"/>
        <item x="30"/>
        <item x="53"/>
        <item x="52"/>
        <item x="54"/>
        <item x="26"/>
        <item x="5"/>
        <item x="17"/>
        <item x="8"/>
        <item x="20"/>
        <item x="19"/>
        <item x="79"/>
        <item x="4"/>
        <item x="33"/>
        <item x="32"/>
        <item x="6"/>
        <item x="9"/>
        <item x="37"/>
        <item x="35"/>
        <item x="10"/>
        <item x="13"/>
        <item x="34"/>
        <item x="36"/>
        <item x="89"/>
        <item x="8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79">
        <item x="10"/>
        <item x="46"/>
        <item x="4"/>
        <item x="34"/>
        <item x="26"/>
        <item x="13"/>
        <item x="25"/>
        <item x="29"/>
        <item x="47"/>
        <item x="48"/>
        <item x="37"/>
        <item x="42"/>
        <item x="36"/>
        <item x="43"/>
        <item x="11"/>
        <item x="15"/>
        <item x="64"/>
        <item x="57"/>
        <item m="1" x="77"/>
        <item x="58"/>
        <item m="1" x="76"/>
        <item m="1" x="75"/>
        <item x="0"/>
        <item x="1"/>
        <item x="2"/>
        <item x="7"/>
        <item x="3"/>
        <item x="71"/>
        <item x="12"/>
        <item x="68"/>
        <item x="14"/>
        <item x="69"/>
        <item x="16"/>
        <item x="63"/>
        <item x="73"/>
        <item x="20"/>
        <item x="21"/>
        <item x="70"/>
        <item x="23"/>
        <item x="61"/>
        <item x="62"/>
        <item x="50"/>
        <item x="52"/>
        <item x="54"/>
        <item x="56"/>
        <item x="67"/>
        <item x="59"/>
        <item x="60"/>
        <item x="66"/>
        <item x="28"/>
        <item x="31"/>
        <item x="30"/>
        <item x="8"/>
        <item x="18"/>
        <item x="5"/>
        <item x="6"/>
        <item x="9"/>
        <item x="17"/>
        <item x="19"/>
        <item x="27"/>
        <item x="32"/>
        <item x="33"/>
        <item x="24"/>
        <item x="72"/>
        <item x="65"/>
        <item x="35"/>
        <item x="41"/>
        <item x="22"/>
        <item x="38"/>
        <item x="44"/>
        <item m="1" x="78"/>
        <item x="51"/>
        <item x="53"/>
        <item x="55"/>
        <item x="39"/>
        <item x="40"/>
        <item x="45"/>
        <item x="49"/>
        <item x="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92">
        <item x="35"/>
        <item x="23"/>
        <item x="24"/>
        <item x="22"/>
        <item x="21"/>
        <item x="41"/>
        <item x="26"/>
        <item x="25"/>
        <item x="18"/>
        <item x="19"/>
        <item x="20"/>
        <item x="69"/>
        <item x="70"/>
        <item x="27"/>
        <item x="28"/>
        <item x="29"/>
        <item x="30"/>
        <item x="40"/>
        <item x="85"/>
        <item x="2"/>
        <item x="37"/>
        <item x="39"/>
        <item x="0"/>
        <item x="77"/>
        <item x="67"/>
        <item x="68"/>
        <item x="80"/>
        <item x="81"/>
        <item x="76"/>
        <item x="65"/>
        <item x="66"/>
        <item x="82"/>
        <item x="4"/>
        <item x="5"/>
        <item x="3"/>
        <item x="11"/>
        <item x="12"/>
        <item x="6"/>
        <item x="7"/>
        <item x="9"/>
        <item x="8"/>
        <item x="15"/>
        <item x="16"/>
        <item x="78"/>
        <item x="79"/>
        <item x="17"/>
        <item x="42"/>
        <item x="44"/>
        <item x="43"/>
        <item x="45"/>
        <item x="48"/>
        <item x="51"/>
        <item x="49"/>
        <item x="50"/>
        <item x="58"/>
        <item x="60"/>
        <item x="59"/>
        <item x="61"/>
        <item x="54"/>
        <item x="56"/>
        <item x="55"/>
        <item x="57"/>
        <item x="46"/>
        <item x="47"/>
        <item x="52"/>
        <item x="53"/>
        <item x="1"/>
        <item x="84"/>
        <item x="36"/>
        <item x="38"/>
        <item x="14"/>
        <item x="86"/>
        <item x="87"/>
        <item x="90"/>
        <item x="88"/>
        <item x="89"/>
        <item x="62"/>
        <item x="13"/>
        <item x="64"/>
        <item x="63"/>
        <item x="72"/>
        <item x="71"/>
        <item x="75"/>
        <item x="73"/>
        <item x="74"/>
        <item x="83"/>
        <item x="31"/>
        <item x="10"/>
        <item x="33"/>
        <item x="32"/>
        <item x="34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outline="0" multipleItemSelectionAllowed="1" showAll="0" defaultSubtotal="0">
      <items count="63">
        <item x="0"/>
        <item x="1"/>
        <item x="2"/>
        <item x="3"/>
        <item x="4"/>
        <item x="5"/>
        <item x="6"/>
        <item x="7"/>
        <item x="60"/>
        <item x="8"/>
        <item x="9"/>
        <item x="10"/>
        <item x="11"/>
        <item x="57"/>
        <item x="12"/>
        <item x="58"/>
        <item x="13"/>
        <item x="54"/>
        <item x="55"/>
        <item x="14"/>
        <item x="15"/>
        <item x="61"/>
        <item x="16"/>
        <item x="17"/>
        <item x="59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56"/>
        <item x="49"/>
        <item x="50"/>
        <item x="51"/>
        <item x="52"/>
        <item x="53"/>
        <item x="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dataField="1" showAll="0"/>
    <pivotField showAll="0"/>
    <pivotField showAll="0"/>
    <pivotField axis="axisRow" outline="0" showAll="0">
      <items count="29">
        <item x="2"/>
        <item x="13"/>
        <item x="7"/>
        <item x="0"/>
        <item x="14"/>
        <item x="10"/>
        <item x="16"/>
        <item x="5"/>
        <item x="4"/>
        <item x="17"/>
        <item x="15"/>
        <item x="6"/>
        <item x="22"/>
        <item x="1"/>
        <item x="19"/>
        <item m="1" x="27"/>
        <item x="8"/>
        <item x="9"/>
        <item m="1" x="26"/>
        <item x="12"/>
        <item x="23"/>
        <item x="11"/>
        <item x="3"/>
        <item x="20"/>
        <item x="21"/>
        <item x="18"/>
        <item x="24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Page" multipleItemSelectionAllowed="1" showAll="0">
      <items count="7">
        <item x="3"/>
        <item x="0"/>
        <item x="1"/>
        <item x="2"/>
        <item x="4"/>
        <item x="5"/>
        <item t="default"/>
      </items>
    </pivotField>
    <pivotField showAll="0"/>
  </pivotFields>
  <rowFields count="4">
    <field x="14"/>
    <field x="4"/>
    <field x="5"/>
    <field x="8"/>
  </rowFields>
  <rowItems count="337">
    <i>
      <x/>
      <x v="29"/>
      <x v="40"/>
      <x v="31"/>
    </i>
    <i r="1">
      <x v="63"/>
      <x v="59"/>
      <x v="20"/>
    </i>
    <i r="1">
      <x v="64"/>
      <x v="7"/>
      <x v="69"/>
    </i>
    <i r="1">
      <x v="65"/>
      <x v="4"/>
      <x v="68"/>
    </i>
    <i r="1">
      <x v="66"/>
      <x v="6"/>
      <x v="68"/>
    </i>
    <i r="1">
      <x v="67"/>
      <x v="49"/>
      <x v="20"/>
    </i>
    <i r="3">
      <x v="69"/>
    </i>
    <i r="1">
      <x v="68"/>
      <x v="8"/>
      <x v="79"/>
    </i>
    <i r="1">
      <x v="69"/>
      <x v="1"/>
      <x v="76"/>
    </i>
    <i r="1">
      <x v="70"/>
      <x v="9"/>
      <x v="78"/>
    </i>
    <i r="1">
      <x v="71"/>
      <x v="62"/>
      <x/>
    </i>
    <i r="1">
      <x v="74"/>
      <x v="52"/>
      <x v="35"/>
    </i>
    <i r="3">
      <x v="36"/>
    </i>
    <i r="1">
      <x v="75"/>
      <x v="58"/>
      <x v="6"/>
    </i>
    <i r="1">
      <x v="76"/>
      <x v="53"/>
      <x v="7"/>
    </i>
    <i r="1">
      <x v="77"/>
      <x v="48"/>
      <x/>
    </i>
    <i r="1">
      <x v="79"/>
      <x v="50"/>
      <x v="21"/>
    </i>
    <i r="1">
      <x v="80"/>
      <x v="51"/>
      <x v="21"/>
    </i>
    <i r="1">
      <x v="81"/>
      <x v="55"/>
      <x v="39"/>
    </i>
    <i r="3">
      <x v="40"/>
    </i>
    <i r="1">
      <x v="82"/>
      <x v="56"/>
      <x v="77"/>
    </i>
    <i r="1">
      <x v="83"/>
      <x v="3"/>
      <x v="5"/>
    </i>
    <i r="1">
      <x v="84"/>
      <x v="4"/>
      <x v="17"/>
    </i>
    <i r="1">
      <x v="85"/>
      <x/>
      <x v="70"/>
    </i>
    <i r="1">
      <x v="86"/>
      <x v="5"/>
      <x v="45"/>
    </i>
    <i r="1">
      <x v="87"/>
      <x v="60"/>
      <x v="17"/>
    </i>
    <i r="1">
      <x v="88"/>
      <x v="61"/>
      <x v="5"/>
    </i>
    <i t="default">
      <x/>
    </i>
    <i>
      <x v="1"/>
      <x v="12"/>
      <x v="77"/>
      <x v="30"/>
    </i>
    <i r="1">
      <x v="43"/>
      <x v="41"/>
      <x v="30"/>
    </i>
    <i t="default">
      <x v="1"/>
    </i>
    <i>
      <x v="2"/>
      <x v="1"/>
      <x v="65"/>
      <x v="46"/>
    </i>
    <i r="3">
      <x v="47"/>
    </i>
    <i r="1">
      <x v="2"/>
      <x v="74"/>
      <x v="50"/>
    </i>
    <i r="3">
      <x v="51"/>
    </i>
    <i r="1">
      <x v="4"/>
      <x v="76"/>
      <x v="54"/>
    </i>
    <i r="3">
      <x v="55"/>
    </i>
    <i r="1">
      <x v="5"/>
      <x v="66"/>
      <x v="64"/>
    </i>
    <i r="3">
      <x v="65"/>
    </i>
    <i r="1">
      <x v="6"/>
      <x v="65"/>
      <x v="48"/>
    </i>
    <i r="3">
      <x v="49"/>
    </i>
    <i r="1">
      <x v="7"/>
      <x v="75"/>
      <x v="52"/>
    </i>
    <i r="3">
      <x v="53"/>
    </i>
    <i r="1">
      <x v="8"/>
      <x v="66"/>
      <x v="60"/>
    </i>
    <i r="3">
      <x v="61"/>
    </i>
    <i r="1">
      <x v="9"/>
      <x v="76"/>
      <x v="56"/>
    </i>
    <i r="3">
      <x v="57"/>
    </i>
    <i r="1">
      <x v="10"/>
      <x v="68"/>
      <x v="62"/>
    </i>
    <i r="3">
      <x v="63"/>
    </i>
    <i t="default">
      <x v="2"/>
    </i>
    <i>
      <x v="3"/>
      <x v="2"/>
      <x v="74"/>
      <x v="51"/>
    </i>
    <i r="1">
      <x v="5"/>
      <x v="66"/>
      <x v="64"/>
    </i>
    <i r="3">
      <x v="65"/>
    </i>
    <i r="1">
      <x v="6"/>
      <x v="65"/>
      <x v="48"/>
    </i>
    <i r="3">
      <x v="49"/>
    </i>
    <i r="1">
      <x v="7"/>
      <x v="75"/>
      <x v="52"/>
    </i>
    <i r="3">
      <x v="53"/>
    </i>
    <i r="1">
      <x v="8"/>
      <x v="66"/>
      <x v="60"/>
    </i>
    <i r="3">
      <x v="61"/>
    </i>
    <i r="1">
      <x v="9"/>
      <x v="76"/>
      <x v="57"/>
    </i>
    <i r="1">
      <x v="10"/>
      <x v="68"/>
      <x v="62"/>
    </i>
    <i r="3">
      <x v="63"/>
    </i>
    <i r="1">
      <x v="12"/>
      <x v="77"/>
      <x v="29"/>
    </i>
    <i r="3">
      <x v="30"/>
    </i>
    <i r="1">
      <x v="14"/>
      <x v="72"/>
      <x v="11"/>
    </i>
    <i r="1">
      <x v="15"/>
      <x v="73"/>
      <x v="12"/>
    </i>
    <i r="1">
      <x v="18"/>
      <x v="22"/>
      <x v="22"/>
    </i>
    <i r="1">
      <x v="19"/>
      <x v="24"/>
      <x v="19"/>
    </i>
    <i r="1">
      <x v="20"/>
      <x v="23"/>
      <x v="66"/>
    </i>
    <i r="1">
      <x v="21"/>
      <x v="25"/>
      <x v="87"/>
    </i>
    <i r="1">
      <x v="28"/>
      <x v="39"/>
      <x v="26"/>
    </i>
    <i r="1">
      <x v="30"/>
      <x v="17"/>
      <x v="80"/>
    </i>
    <i r="3">
      <x v="81"/>
    </i>
    <i r="1">
      <x v="31"/>
      <x v="19"/>
      <x v="83"/>
    </i>
    <i r="1">
      <x v="32"/>
      <x v="46"/>
      <x v="28"/>
    </i>
    <i r="1">
      <x v="33"/>
      <x v="47"/>
      <x v="43"/>
    </i>
    <i r="3">
      <x v="44"/>
    </i>
    <i r="1">
      <x v="36"/>
      <x v="30"/>
      <x v="10"/>
    </i>
    <i r="1">
      <x v="39"/>
      <x v="32"/>
      <x v="4"/>
    </i>
    <i r="1">
      <x v="40"/>
      <x v="35"/>
      <x v="16"/>
    </i>
    <i r="1">
      <x v="43"/>
      <x v="41"/>
      <x v="29"/>
    </i>
    <i r="3">
      <x v="30"/>
    </i>
    <i r="1">
      <x v="45"/>
      <x v="43"/>
      <x v="11"/>
    </i>
    <i r="1">
      <x v="46"/>
      <x v="44"/>
      <x v="12"/>
    </i>
    <i r="1">
      <x v="47"/>
      <x v="33"/>
      <x v="67"/>
    </i>
    <i r="3">
      <x v="85"/>
    </i>
    <i r="1">
      <x v="49"/>
      <x v="36"/>
      <x v="86"/>
    </i>
    <i r="1">
      <x v="56"/>
      <x v="15"/>
      <x v="8"/>
    </i>
    <i r="3">
      <x v="9"/>
    </i>
    <i r="3">
      <x v="10"/>
    </i>
    <i r="1">
      <x v="57"/>
      <x v="16"/>
      <x v="85"/>
    </i>
    <i t="default">
      <x v="3"/>
    </i>
    <i>
      <x v="4"/>
      <x v="58"/>
      <x v="10"/>
      <x v="48"/>
    </i>
    <i r="3">
      <x v="49"/>
    </i>
    <i r="3">
      <x v="51"/>
    </i>
    <i r="3">
      <x v="52"/>
    </i>
    <i r="3">
      <x v="53"/>
    </i>
    <i r="3">
      <x v="62"/>
    </i>
    <i r="3">
      <x v="63"/>
    </i>
    <i r="1">
      <x v="59"/>
      <x v="12"/>
      <x v="48"/>
    </i>
    <i r="3">
      <x v="49"/>
    </i>
    <i r="3">
      <x v="51"/>
    </i>
    <i r="3">
      <x v="52"/>
    </i>
    <i r="3">
      <x v="53"/>
    </i>
    <i r="3">
      <x v="62"/>
    </i>
    <i r="3">
      <x v="63"/>
    </i>
    <i t="default">
      <x v="4"/>
    </i>
    <i>
      <x v="5"/>
      <x v="13"/>
      <x v="71"/>
      <x v="24"/>
    </i>
    <i r="3">
      <x v="25"/>
    </i>
    <i r="1">
      <x v="40"/>
      <x v="35"/>
      <x v="16"/>
    </i>
    <i r="1">
      <x v="41"/>
      <x v="42"/>
      <x v="24"/>
    </i>
    <i r="1">
      <x v="44"/>
      <x v="42"/>
      <x v="25"/>
    </i>
    <i t="default">
      <x v="5"/>
    </i>
    <i>
      <x v="6"/>
      <x v="62"/>
      <x v="64"/>
      <x v="26"/>
    </i>
    <i t="default">
      <x v="6"/>
    </i>
    <i>
      <x v="7"/>
      <x v="39"/>
      <x v="32"/>
      <x v="3"/>
    </i>
    <i r="3">
      <x v="4"/>
    </i>
    <i t="default">
      <x v="7"/>
    </i>
    <i>
      <x v="8"/>
      <x v="21"/>
      <x v="25"/>
      <x v="87"/>
    </i>
    <i r="1">
      <x v="24"/>
      <x v="47"/>
      <x v="43"/>
    </i>
    <i r="1">
      <x v="25"/>
      <x v="17"/>
      <x v="81"/>
    </i>
    <i r="1">
      <x v="26"/>
      <x v="19"/>
      <x v="82"/>
    </i>
    <i r="3">
      <x v="83"/>
    </i>
    <i r="1">
      <x v="27"/>
      <x v="46"/>
      <x v="27"/>
    </i>
    <i r="1">
      <x v="28"/>
      <x v="39"/>
      <x v="26"/>
    </i>
    <i r="1">
      <x v="30"/>
      <x v="17"/>
      <x v="80"/>
    </i>
    <i r="1">
      <x v="31"/>
      <x v="19"/>
      <x v="84"/>
    </i>
    <i r="1">
      <x v="32"/>
      <x v="46"/>
      <x v="28"/>
    </i>
    <i r="1">
      <x v="33"/>
      <x v="47"/>
      <x v="44"/>
    </i>
    <i r="1">
      <x v="34"/>
      <x v="30"/>
      <x v="8"/>
    </i>
    <i r="3">
      <x v="9"/>
    </i>
    <i r="1">
      <x v="38"/>
      <x v="32"/>
      <x v="2"/>
    </i>
    <i r="1">
      <x v="39"/>
      <x v="32"/>
      <x v="4"/>
    </i>
    <i r="1">
      <x v="42"/>
      <x v="28"/>
      <x v="42"/>
    </i>
    <i r="1">
      <x v="49"/>
      <x v="36"/>
      <x v="86"/>
    </i>
    <i r="1">
      <x v="58"/>
      <x v="10"/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62"/>
    </i>
    <i r="3">
      <x v="63"/>
    </i>
    <i r="1">
      <x v="59"/>
      <x v="12"/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62"/>
    </i>
    <i r="3">
      <x v="63"/>
    </i>
    <i r="1">
      <x v="73"/>
      <x v="57"/>
      <x v="1"/>
    </i>
    <i t="default">
      <x v="8"/>
    </i>
    <i>
      <x v="9"/>
      <x v="18"/>
      <x v="22"/>
      <x v="22"/>
    </i>
    <i t="default">
      <x v="9"/>
    </i>
    <i>
      <x v="10"/>
      <x v="11"/>
      <x v="67"/>
      <x v="90"/>
    </i>
    <i r="1">
      <x v="18"/>
      <x v="22"/>
      <x v="22"/>
    </i>
    <i r="1">
      <x v="37"/>
      <x v="38"/>
      <x v="90"/>
    </i>
    <i t="default">
      <x v="10"/>
    </i>
    <i>
      <x v="11"/>
      <x v="35"/>
      <x v="35"/>
      <x v="13"/>
    </i>
    <i r="3">
      <x v="14"/>
    </i>
    <i r="3">
      <x v="15"/>
    </i>
    <i r="3">
      <x v="16"/>
    </i>
    <i r="1">
      <x v="40"/>
      <x v="35"/>
      <x v="13"/>
    </i>
    <i r="3">
      <x v="14"/>
    </i>
    <i r="3">
      <x v="15"/>
    </i>
    <i r="3">
      <x v="16"/>
    </i>
    <i t="default">
      <x v="11"/>
    </i>
    <i>
      <x v="12"/>
      <x/>
      <x v="63"/>
      <x v="22"/>
    </i>
    <i t="default">
      <x v="12"/>
    </i>
    <i>
      <x v="13"/>
      <x v="15"/>
      <x v="73"/>
      <x v="12"/>
    </i>
    <i r="1">
      <x v="16"/>
      <x v="26"/>
      <x v="32"/>
    </i>
    <i r="3">
      <x v="34"/>
    </i>
    <i r="1">
      <x v="36"/>
      <x v="30"/>
      <x v="10"/>
    </i>
    <i r="1">
      <x v="42"/>
      <x v="28"/>
      <x v="41"/>
    </i>
    <i r="3">
      <x v="42"/>
    </i>
    <i r="1">
      <x v="46"/>
      <x v="44"/>
      <x v="12"/>
    </i>
    <i r="1">
      <x v="53"/>
      <x v="37"/>
      <x v="74"/>
    </i>
    <i r="1">
      <x v="72"/>
      <x v="54"/>
      <x v="37"/>
    </i>
    <i r="3">
      <x v="38"/>
    </i>
    <i r="1">
      <x v="78"/>
      <x v="2"/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0"/>
    </i>
    <i t="default">
      <x v="13"/>
    </i>
    <i>
      <x v="14"/>
      <x v="2"/>
      <x v="74"/>
      <x v="50"/>
    </i>
    <i r="3">
      <x v="51"/>
    </i>
    <i r="1">
      <x v="4"/>
      <x v="76"/>
      <x v="54"/>
    </i>
    <i r="3">
      <x v="55"/>
    </i>
    <i r="1">
      <x v="5"/>
      <x v="66"/>
      <x v="64"/>
    </i>
    <i r="3">
      <x v="65"/>
    </i>
    <i r="1">
      <x v="7"/>
      <x v="75"/>
      <x v="52"/>
    </i>
    <i r="3">
      <x v="53"/>
    </i>
    <i r="1">
      <x v="8"/>
      <x v="66"/>
      <x v="60"/>
    </i>
    <i r="3">
      <x v="61"/>
    </i>
    <i r="1">
      <x v="9"/>
      <x v="76"/>
      <x v="56"/>
    </i>
    <i r="3">
      <x v="57"/>
    </i>
    <i r="1">
      <x v="10"/>
      <x v="68"/>
      <x v="62"/>
    </i>
    <i r="3">
      <x v="63"/>
    </i>
    <i r="1">
      <x v="18"/>
      <x v="22"/>
      <x v="22"/>
    </i>
    <i t="default">
      <x v="14"/>
    </i>
    <i>
      <x v="16"/>
      <x v="39"/>
      <x v="32"/>
      <x v="3"/>
    </i>
    <i r="1">
      <x v="60"/>
      <x v="13"/>
      <x v="55"/>
    </i>
    <i r="3">
      <x v="57"/>
    </i>
    <i r="3">
      <x v="58"/>
    </i>
    <i r="3">
      <x v="59"/>
    </i>
    <i r="3">
      <x v="60"/>
    </i>
    <i r="3">
      <x v="61"/>
    </i>
    <i r="3">
      <x v="64"/>
    </i>
    <i r="3">
      <x v="65"/>
    </i>
    <i r="1">
      <x v="61"/>
      <x v="11"/>
      <x v="55"/>
    </i>
    <i r="3">
      <x v="58"/>
    </i>
    <i r="3">
      <x v="59"/>
    </i>
    <i r="3">
      <x v="60"/>
    </i>
    <i r="3">
      <x v="61"/>
    </i>
    <i r="3">
      <x v="64"/>
    </i>
    <i r="3">
      <x v="65"/>
    </i>
    <i t="default">
      <x v="16"/>
    </i>
    <i>
      <x v="17"/>
      <x/>
      <x v="63"/>
      <x v="22"/>
    </i>
    <i r="1">
      <x v="6"/>
      <x v="65"/>
      <x v="48"/>
    </i>
    <i r="3">
      <x v="49"/>
    </i>
    <i r="1">
      <x v="18"/>
      <x v="22"/>
      <x v="22"/>
    </i>
    <i r="1">
      <x v="30"/>
      <x v="17"/>
      <x v="80"/>
    </i>
    <i r="3">
      <x v="81"/>
    </i>
    <i r="1">
      <x v="39"/>
      <x v="32"/>
      <x v="3"/>
    </i>
    <i r="3">
      <x v="4"/>
    </i>
    <i r="1">
      <x v="48"/>
      <x v="33"/>
      <x v="85"/>
    </i>
    <i r="1">
      <x v="51"/>
      <x v="31"/>
      <x v="72"/>
    </i>
    <i r="1">
      <x v="60"/>
      <x v="13"/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1">
      <x v="61"/>
      <x v="11"/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4"/>
    </i>
    <i r="3">
      <x v="65"/>
    </i>
    <i t="default">
      <x v="17"/>
    </i>
    <i>
      <x v="19"/>
      <x v="1"/>
      <x v="65"/>
      <x v="46"/>
    </i>
    <i r="3">
      <x v="47"/>
    </i>
    <i r="1">
      <x v="13"/>
      <x v="71"/>
      <x v="25"/>
    </i>
    <i r="1">
      <x v="20"/>
      <x v="23"/>
      <x v="66"/>
    </i>
    <i r="1">
      <x v="33"/>
      <x v="47"/>
      <x v="43"/>
    </i>
    <i r="3">
      <x v="44"/>
    </i>
    <i r="1">
      <x v="44"/>
      <x v="42"/>
      <x v="25"/>
    </i>
    <i r="1">
      <x v="53"/>
      <x v="37"/>
      <x v="74"/>
    </i>
    <i r="1">
      <x v="55"/>
      <x v="14"/>
      <x v="42"/>
    </i>
    <i r="1">
      <x v="56"/>
      <x v="15"/>
      <x v="10"/>
    </i>
    <i r="1">
      <x v="57"/>
      <x v="16"/>
      <x v="72"/>
    </i>
    <i r="1">
      <x v="60"/>
      <x v="13"/>
      <x v="60"/>
    </i>
    <i r="1">
      <x v="61"/>
      <x v="11"/>
      <x v="60"/>
    </i>
    <i t="default">
      <x v="19"/>
    </i>
    <i>
      <x v="20"/>
      <x v="18"/>
      <x v="22"/>
      <x v="22"/>
    </i>
    <i t="default">
      <x v="20"/>
    </i>
    <i>
      <x v="21"/>
      <x v="31"/>
      <x v="19"/>
      <x v="82"/>
    </i>
    <i r="3">
      <x v="83"/>
    </i>
    <i r="3">
      <x v="84"/>
    </i>
    <i t="default">
      <x v="21"/>
    </i>
    <i>
      <x v="22"/>
      <x v="3"/>
      <x v="69"/>
      <x v="58"/>
    </i>
    <i r="3">
      <x v="59"/>
    </i>
    <i r="1">
      <x v="11"/>
      <x v="67"/>
      <x v="88"/>
    </i>
    <i r="3">
      <x v="89"/>
    </i>
    <i r="3">
      <x v="90"/>
    </i>
    <i r="1">
      <x v="12"/>
      <x v="77"/>
      <x v="30"/>
    </i>
    <i r="1">
      <x v="22"/>
      <x v="45"/>
      <x v="18"/>
    </i>
    <i r="1">
      <x v="23"/>
      <x v="46"/>
      <x v="23"/>
    </i>
    <i r="1">
      <x v="32"/>
      <x v="46"/>
      <x v="28"/>
    </i>
    <i r="1">
      <x v="37"/>
      <x v="38"/>
      <x v="88"/>
    </i>
    <i r="3">
      <x v="89"/>
    </i>
    <i r="3">
      <x v="90"/>
    </i>
    <i r="1">
      <x v="38"/>
      <x v="32"/>
      <x v="2"/>
    </i>
    <i r="1">
      <x v="39"/>
      <x v="32"/>
      <x v="4"/>
    </i>
    <i r="1">
      <x v="40"/>
      <x v="35"/>
      <x v="16"/>
    </i>
    <i r="1">
      <x v="43"/>
      <x v="41"/>
      <x v="30"/>
    </i>
    <i r="1">
      <x v="50"/>
      <x v="29"/>
      <x v="71"/>
    </i>
    <i r="1">
      <x v="54"/>
      <x v="27"/>
      <x v="75"/>
    </i>
    <i r="1">
      <x v="55"/>
      <x v="14"/>
      <x v="41"/>
    </i>
    <i r="3">
      <x v="42"/>
    </i>
    <i r="3">
      <x v="71"/>
    </i>
    <i r="1">
      <x v="56"/>
      <x v="15"/>
      <x v="9"/>
    </i>
    <i r="3">
      <x v="10"/>
    </i>
    <i r="1">
      <x v="57"/>
      <x v="16"/>
      <x v="85"/>
    </i>
    <i r="1">
      <x v="89"/>
      <x v="78"/>
      <x v="91"/>
    </i>
    <i r="1">
      <x v="90"/>
      <x v="37"/>
      <x v="74"/>
    </i>
    <i t="default">
      <x v="22"/>
    </i>
    <i>
      <x v="23"/>
      <x v="49"/>
      <x v="36"/>
      <x v="86"/>
    </i>
    <i t="default">
      <x v="23"/>
    </i>
    <i>
      <x v="24"/>
      <x/>
      <x v="63"/>
      <x v="22"/>
    </i>
    <i r="3">
      <x v="66"/>
    </i>
    <i r="3">
      <x v="87"/>
    </i>
    <i r="1">
      <x v="21"/>
      <x v="25"/>
      <x v="87"/>
    </i>
    <i r="1">
      <x v="30"/>
      <x v="17"/>
      <x v="81"/>
    </i>
    <i r="1">
      <x v="48"/>
      <x v="33"/>
      <x v="85"/>
    </i>
    <i t="default">
      <x v="24"/>
    </i>
    <i>
      <x v="25"/>
      <x v="58"/>
      <x v="10"/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62"/>
    </i>
    <i r="3">
      <x v="63"/>
    </i>
    <i r="1">
      <x v="59"/>
      <x v="12"/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62"/>
    </i>
    <i r="3">
      <x v="63"/>
    </i>
    <i t="default">
      <x v="25"/>
    </i>
    <i>
      <x v="26"/>
      <x v="18"/>
      <x v="22"/>
      <x v="22"/>
    </i>
    <i t="default">
      <x v="26"/>
    </i>
    <i>
      <x v="27"/>
      <x v="52"/>
      <x v="34"/>
      <x v="73"/>
    </i>
    <i t="default">
      <x v="27"/>
    </i>
    <i t="grand">
      <x/>
    </i>
  </rowItems>
  <colItems count="1">
    <i/>
  </colItems>
  <pageFields count="2">
    <pageField fld="16" hier="-1"/>
    <pageField fld="9" hier="-1"/>
  </pageFields>
  <dataFields count="1">
    <dataField name="QUANTIDADE SOLICITADA" fld="11" baseField="0" baseItem="0" numFmtId="3"/>
  </dataFields>
  <formats count="163">
    <format dxfId="209">
      <pivotArea outline="0" collapsedLevelsAreSubtotals="1" fieldPosition="0"/>
    </format>
    <format dxfId="208">
      <pivotArea type="all" dataOnly="0" outline="0" fieldPosition="0"/>
    </format>
    <format dxfId="207">
      <pivotArea outline="0" collapsedLevelsAreSubtotals="1" fieldPosition="0"/>
    </format>
    <format dxfId="206">
      <pivotArea field="14" type="button" dataOnly="0" labelOnly="1" outline="0" axis="axisRow" fieldPosition="0"/>
    </format>
    <format dxfId="205">
      <pivotArea field="5" type="button" dataOnly="0" labelOnly="1" outline="0" axis="axisRow" fieldPosition="2"/>
    </format>
    <format dxfId="204">
      <pivotArea field="9" type="button" dataOnly="0" labelOnly="1" outline="0" axis="axisPage" fieldPosition="1"/>
    </format>
    <format dxfId="203">
      <pivotArea field="8" type="button" dataOnly="0" labelOnly="1" outline="0" axis="axisRow" fieldPosition="3"/>
    </format>
    <format dxfId="202">
      <pivotArea dataOnly="0" labelOnly="1" fieldPosition="0">
        <references count="1">
          <reference field="14" count="8">
            <x v="13"/>
            <x v="14"/>
            <x v="15"/>
            <x v="18"/>
            <x v="19"/>
            <x v="20"/>
            <x v="21"/>
            <x v="22"/>
          </reference>
        </references>
      </pivotArea>
    </format>
    <format dxfId="201">
      <pivotArea dataOnly="0" labelOnly="1" grandRow="1" outline="0" fieldPosition="0"/>
    </format>
    <format dxfId="200">
      <pivotArea dataOnly="0" labelOnly="1" fieldPosition="0">
        <references count="2">
          <reference field="4" count="8">
            <x v="12"/>
            <x v="15"/>
            <x v="22"/>
            <x v="43"/>
            <x v="46"/>
            <x v="50"/>
            <x v="54"/>
            <x v="55"/>
          </reference>
          <reference field="14" count="1" selected="0">
            <x v="13"/>
          </reference>
        </references>
      </pivotArea>
    </format>
    <format dxfId="199">
      <pivotArea dataOnly="0" labelOnly="1" fieldPosition="0">
        <references count="2">
          <reference field="4" count="6">
            <x v="2"/>
            <x v="4"/>
            <x v="5"/>
            <x v="7"/>
            <x v="9"/>
            <x v="10"/>
          </reference>
          <reference field="14" count="1" selected="0">
            <x v="14"/>
          </reference>
        </references>
      </pivotArea>
    </format>
    <format dxfId="198">
      <pivotArea dataOnly="0" labelOnly="1" fieldPosition="0">
        <references count="2">
          <reference field="4" count="1">
            <x v="49"/>
          </reference>
          <reference field="14" count="1" selected="0">
            <x v="15"/>
          </reference>
        </references>
      </pivotArea>
    </format>
    <format dxfId="197">
      <pivotArea dataOnly="0" labelOnly="1" fieldPosition="0">
        <references count="2">
          <reference field="4" count="2">
            <x v="32"/>
            <x v="33"/>
          </reference>
          <reference field="14" count="1" selected="0">
            <x v="18"/>
          </reference>
        </references>
      </pivotArea>
    </format>
    <format dxfId="196">
      <pivotArea dataOnly="0" labelOnly="1" fieldPosition="0">
        <references count="2">
          <reference field="4" count="1">
            <x v="0"/>
          </reference>
          <reference field="14" count="1" selected="0">
            <x v="19"/>
          </reference>
        </references>
      </pivotArea>
    </format>
    <format dxfId="195">
      <pivotArea dataOnly="0" labelOnly="1" fieldPosition="0">
        <references count="2">
          <reference field="4" count="2">
            <x v="58"/>
            <x v="59"/>
          </reference>
          <reference field="14" count="1" selected="0">
            <x v="20"/>
          </reference>
        </references>
      </pivotArea>
    </format>
    <format dxfId="194">
      <pivotArea dataOnly="0" labelOnly="1" fieldPosition="0">
        <references count="2">
          <reference field="4" count="4">
            <x v="11"/>
            <x v="30"/>
            <x v="31"/>
            <x v="37"/>
          </reference>
          <reference field="14" count="1" selected="0">
            <x v="21"/>
          </reference>
        </references>
      </pivotArea>
    </format>
    <format dxfId="193">
      <pivotArea dataOnly="0" labelOnly="1" fieldPosition="0">
        <references count="2">
          <reference field="4" count="15">
            <x v="0"/>
            <x v="3"/>
            <x v="18"/>
            <x v="21"/>
            <x v="30"/>
            <x v="38"/>
            <x v="39"/>
            <x v="40"/>
            <x v="48"/>
            <x v="49"/>
            <x v="52"/>
            <x v="53"/>
            <x v="55"/>
            <x v="56"/>
            <x v="57"/>
          </reference>
          <reference field="14" count="1" selected="0">
            <x v="22"/>
          </reference>
        </references>
      </pivotArea>
    </format>
    <format dxfId="192">
      <pivotArea dataOnly="0" labelOnly="1" fieldPosition="0">
        <references count="3">
          <reference field="4" count="1" selected="0">
            <x v="12"/>
          </reference>
          <reference field="5" count="1">
            <x v="77"/>
          </reference>
          <reference field="14" count="1" selected="0">
            <x v="13"/>
          </reference>
        </references>
      </pivotArea>
    </format>
    <format dxfId="191">
      <pivotArea dataOnly="0" labelOnly="1" fieldPosition="0">
        <references count="3">
          <reference field="4" count="1" selected="0">
            <x v="15"/>
          </reference>
          <reference field="5" count="1">
            <x v="73"/>
          </reference>
          <reference field="14" count="1" selected="0">
            <x v="13"/>
          </reference>
        </references>
      </pivotArea>
    </format>
    <format dxfId="190">
      <pivotArea dataOnly="0" labelOnly="1" fieldPosition="0">
        <references count="3">
          <reference field="4" count="1" selected="0">
            <x v="22"/>
          </reference>
          <reference field="5" count="1">
            <x v="45"/>
          </reference>
          <reference field="14" count="1" selected="0">
            <x v="13"/>
          </reference>
        </references>
      </pivotArea>
    </format>
    <format dxfId="189">
      <pivotArea dataOnly="0" labelOnly="1" fieldPosition="0">
        <references count="3">
          <reference field="4" count="1" selected="0">
            <x v="43"/>
          </reference>
          <reference field="5" count="1">
            <x v="41"/>
          </reference>
          <reference field="14" count="1" selected="0">
            <x v="13"/>
          </reference>
        </references>
      </pivotArea>
    </format>
    <format dxfId="188">
      <pivotArea dataOnly="0" labelOnly="1" fieldPosition="0">
        <references count="3">
          <reference field="4" count="1" selected="0">
            <x v="46"/>
          </reference>
          <reference field="5" count="1">
            <x v="44"/>
          </reference>
          <reference field="14" count="1" selected="0">
            <x v="13"/>
          </reference>
        </references>
      </pivotArea>
    </format>
    <format dxfId="187">
      <pivotArea dataOnly="0" labelOnly="1" fieldPosition="0">
        <references count="3">
          <reference field="4" count="1" selected="0">
            <x v="50"/>
          </reference>
          <reference field="5" count="1">
            <x v="29"/>
          </reference>
          <reference field="14" count="1" selected="0">
            <x v="13"/>
          </reference>
        </references>
      </pivotArea>
    </format>
    <format dxfId="186">
      <pivotArea dataOnly="0" labelOnly="1" fieldPosition="0">
        <references count="3">
          <reference field="4" count="1" selected="0">
            <x v="54"/>
          </reference>
          <reference field="5" count="1">
            <x v="27"/>
          </reference>
          <reference field="14" count="1" selected="0">
            <x v="13"/>
          </reference>
        </references>
      </pivotArea>
    </format>
    <format dxfId="185">
      <pivotArea dataOnly="0" labelOnly="1" fieldPosition="0">
        <references count="3">
          <reference field="4" count="1" selected="0">
            <x v="55"/>
          </reference>
          <reference field="5" count="1">
            <x v="14"/>
          </reference>
          <reference field="14" count="1" selected="0">
            <x v="13"/>
          </reference>
        </references>
      </pivotArea>
    </format>
    <format dxfId="184">
      <pivotArea dataOnly="0" labelOnly="1" fieldPosition="0">
        <references count="3">
          <reference field="4" count="1" selected="0">
            <x v="2"/>
          </reference>
          <reference field="5" count="1">
            <x v="74"/>
          </reference>
          <reference field="14" count="1" selected="0">
            <x v="14"/>
          </reference>
        </references>
      </pivotArea>
    </format>
    <format dxfId="183">
      <pivotArea dataOnly="0" labelOnly="1" fieldPosition="0">
        <references count="3">
          <reference field="4" count="1" selected="0">
            <x v="4"/>
          </reference>
          <reference field="5" count="1">
            <x v="76"/>
          </reference>
          <reference field="14" count="1" selected="0">
            <x v="14"/>
          </reference>
        </references>
      </pivotArea>
    </format>
    <format dxfId="182">
      <pivotArea dataOnly="0" labelOnly="1" fieldPosition="0">
        <references count="3">
          <reference field="4" count="1" selected="0">
            <x v="5"/>
          </reference>
          <reference field="5" count="1">
            <x v="66"/>
          </reference>
          <reference field="14" count="1" selected="0">
            <x v="14"/>
          </reference>
        </references>
      </pivotArea>
    </format>
    <format dxfId="181">
      <pivotArea dataOnly="0" labelOnly="1" fieldPosition="0">
        <references count="3">
          <reference field="4" count="1" selected="0">
            <x v="7"/>
          </reference>
          <reference field="5" count="1">
            <x v="75"/>
          </reference>
          <reference field="14" count="1" selected="0">
            <x v="14"/>
          </reference>
        </references>
      </pivotArea>
    </format>
    <format dxfId="180">
      <pivotArea dataOnly="0" labelOnly="1" fieldPosition="0">
        <references count="3">
          <reference field="4" count="1" selected="0">
            <x v="9"/>
          </reference>
          <reference field="5" count="1">
            <x v="76"/>
          </reference>
          <reference field="14" count="1" selected="0">
            <x v="14"/>
          </reference>
        </references>
      </pivotArea>
    </format>
    <format dxfId="179">
      <pivotArea dataOnly="0" labelOnly="1" fieldPosition="0">
        <references count="3">
          <reference field="4" count="1" selected="0">
            <x v="10"/>
          </reference>
          <reference field="5" count="1">
            <x v="68"/>
          </reference>
          <reference field="14" count="1" selected="0">
            <x v="14"/>
          </reference>
        </references>
      </pivotArea>
    </format>
    <format dxfId="178">
      <pivotArea dataOnly="0" labelOnly="1" fieldPosition="0">
        <references count="3">
          <reference field="4" count="1" selected="0">
            <x v="49"/>
          </reference>
          <reference field="5" count="1">
            <x v="36"/>
          </reference>
          <reference field="14" count="1" selected="0">
            <x v="15"/>
          </reference>
        </references>
      </pivotArea>
    </format>
    <format dxfId="177">
      <pivotArea dataOnly="0" labelOnly="1" fieldPosition="0">
        <references count="3">
          <reference field="4" count="1" selected="0">
            <x v="32"/>
          </reference>
          <reference field="5" count="1">
            <x v="46"/>
          </reference>
          <reference field="14" count="1" selected="0">
            <x v="18"/>
          </reference>
        </references>
      </pivotArea>
    </format>
    <format dxfId="176">
      <pivotArea dataOnly="0" labelOnly="1" fieldPosition="0">
        <references count="3">
          <reference field="4" count="1" selected="0">
            <x v="33"/>
          </reference>
          <reference field="5" count="1">
            <x v="47"/>
          </reference>
          <reference field="14" count="1" selected="0">
            <x v="18"/>
          </reference>
        </references>
      </pivotArea>
    </format>
    <format dxfId="175">
      <pivotArea dataOnly="0" labelOnly="1" fieldPosition="0">
        <references count="3">
          <reference field="4" count="1" selected="0">
            <x v="0"/>
          </reference>
          <reference field="5" count="1">
            <x v="63"/>
          </reference>
          <reference field="14" count="1" selected="0">
            <x v="19"/>
          </reference>
        </references>
      </pivotArea>
    </format>
    <format dxfId="174">
      <pivotArea dataOnly="0" labelOnly="1" fieldPosition="0">
        <references count="3">
          <reference field="4" count="1" selected="0">
            <x v="58"/>
          </reference>
          <reference field="5" count="1">
            <x v="10"/>
          </reference>
          <reference field="14" count="1" selected="0">
            <x v="20"/>
          </reference>
        </references>
      </pivotArea>
    </format>
    <format dxfId="173">
      <pivotArea dataOnly="0" labelOnly="1" fieldPosition="0">
        <references count="3">
          <reference field="4" count="1" selected="0">
            <x v="59"/>
          </reference>
          <reference field="5" count="1">
            <x v="12"/>
          </reference>
          <reference field="14" count="1" selected="0">
            <x v="20"/>
          </reference>
        </references>
      </pivotArea>
    </format>
    <format dxfId="172">
      <pivotArea dataOnly="0" labelOnly="1" fieldPosition="0">
        <references count="3">
          <reference field="4" count="1" selected="0">
            <x v="11"/>
          </reference>
          <reference field="5" count="1">
            <x v="67"/>
          </reference>
          <reference field="14" count="1" selected="0">
            <x v="21"/>
          </reference>
        </references>
      </pivotArea>
    </format>
    <format dxfId="171">
      <pivotArea dataOnly="0" labelOnly="1" fieldPosition="0">
        <references count="3">
          <reference field="4" count="1" selected="0">
            <x v="30"/>
          </reference>
          <reference field="5" count="1">
            <x v="17"/>
          </reference>
          <reference field="14" count="1" selected="0">
            <x v="21"/>
          </reference>
        </references>
      </pivotArea>
    </format>
    <format dxfId="170">
      <pivotArea dataOnly="0" labelOnly="1" fieldPosition="0">
        <references count="3">
          <reference field="4" count="1" selected="0">
            <x v="31"/>
          </reference>
          <reference field="5" count="1">
            <x v="19"/>
          </reference>
          <reference field="14" count="1" selected="0">
            <x v="21"/>
          </reference>
        </references>
      </pivotArea>
    </format>
    <format dxfId="169">
      <pivotArea dataOnly="0" labelOnly="1" fieldPosition="0">
        <references count="3">
          <reference field="4" count="1" selected="0">
            <x v="37"/>
          </reference>
          <reference field="5" count="1">
            <x v="38"/>
          </reference>
          <reference field="14" count="1" selected="0">
            <x v="21"/>
          </reference>
        </references>
      </pivotArea>
    </format>
    <format dxfId="168">
      <pivotArea dataOnly="0" labelOnly="1" fieldPosition="0">
        <references count="3">
          <reference field="4" count="1" selected="0">
            <x v="0"/>
          </reference>
          <reference field="5" count="1">
            <x v="63"/>
          </reference>
          <reference field="14" count="1" selected="0">
            <x v="22"/>
          </reference>
        </references>
      </pivotArea>
    </format>
    <format dxfId="167">
      <pivotArea dataOnly="0" labelOnly="1" fieldPosition="0">
        <references count="3">
          <reference field="4" count="1" selected="0">
            <x v="3"/>
          </reference>
          <reference field="5" count="1">
            <x v="69"/>
          </reference>
          <reference field="14" count="1" selected="0">
            <x v="22"/>
          </reference>
        </references>
      </pivotArea>
    </format>
    <format dxfId="166">
      <pivotArea dataOnly="0" labelOnly="1" fieldPosition="0">
        <references count="3">
          <reference field="4" count="1" selected="0">
            <x v="18"/>
          </reference>
          <reference field="5" count="1">
            <x v="22"/>
          </reference>
          <reference field="14" count="1" selected="0">
            <x v="22"/>
          </reference>
        </references>
      </pivotArea>
    </format>
    <format dxfId="165">
      <pivotArea dataOnly="0" labelOnly="1" fieldPosition="0">
        <references count="3">
          <reference field="4" count="1" selected="0">
            <x v="21"/>
          </reference>
          <reference field="5" count="1">
            <x v="25"/>
          </reference>
          <reference field="14" count="1" selected="0">
            <x v="22"/>
          </reference>
        </references>
      </pivotArea>
    </format>
    <format dxfId="164">
      <pivotArea dataOnly="0" labelOnly="1" fieldPosition="0">
        <references count="3">
          <reference field="4" count="1" selected="0">
            <x v="30"/>
          </reference>
          <reference field="5" count="1">
            <x v="17"/>
          </reference>
          <reference field="14" count="1" selected="0">
            <x v="22"/>
          </reference>
        </references>
      </pivotArea>
    </format>
    <format dxfId="163">
      <pivotArea dataOnly="0" labelOnly="1" fieldPosition="0">
        <references count="3">
          <reference field="4" count="1" selected="0">
            <x v="38"/>
          </reference>
          <reference field="5" count="1">
            <x v="32"/>
          </reference>
          <reference field="14" count="1" selected="0">
            <x v="22"/>
          </reference>
        </references>
      </pivotArea>
    </format>
    <format dxfId="162">
      <pivotArea dataOnly="0" labelOnly="1" fieldPosition="0">
        <references count="3">
          <reference field="4" count="1" selected="0">
            <x v="40"/>
          </reference>
          <reference field="5" count="1">
            <x v="35"/>
          </reference>
          <reference field="14" count="1" selected="0">
            <x v="22"/>
          </reference>
        </references>
      </pivotArea>
    </format>
    <format dxfId="161">
      <pivotArea dataOnly="0" labelOnly="1" fieldPosition="0">
        <references count="3">
          <reference field="4" count="1" selected="0">
            <x v="48"/>
          </reference>
          <reference field="5" count="1">
            <x v="33"/>
          </reference>
          <reference field="14" count="1" selected="0">
            <x v="22"/>
          </reference>
        </references>
      </pivotArea>
    </format>
    <format dxfId="160">
      <pivotArea dataOnly="0" labelOnly="1" fieldPosition="0">
        <references count="3">
          <reference field="4" count="1" selected="0">
            <x v="49"/>
          </reference>
          <reference field="5" count="1">
            <x v="36"/>
          </reference>
          <reference field="14" count="1" selected="0">
            <x v="22"/>
          </reference>
        </references>
      </pivotArea>
    </format>
    <format dxfId="159">
      <pivotArea dataOnly="0" labelOnly="1" fieldPosition="0">
        <references count="3">
          <reference field="4" count="1" selected="0">
            <x v="52"/>
          </reference>
          <reference field="5" count="1">
            <x v="34"/>
          </reference>
          <reference field="14" count="1" selected="0">
            <x v="22"/>
          </reference>
        </references>
      </pivotArea>
    </format>
    <format dxfId="158">
      <pivotArea dataOnly="0" labelOnly="1" fieldPosition="0">
        <references count="3">
          <reference field="4" count="1" selected="0">
            <x v="53"/>
          </reference>
          <reference field="5" count="1">
            <x v="37"/>
          </reference>
          <reference field="14" count="1" selected="0">
            <x v="22"/>
          </reference>
        </references>
      </pivotArea>
    </format>
    <format dxfId="157">
      <pivotArea dataOnly="0" labelOnly="1" fieldPosition="0">
        <references count="3">
          <reference field="4" count="1" selected="0">
            <x v="55"/>
          </reference>
          <reference field="5" count="1">
            <x v="14"/>
          </reference>
          <reference field="14" count="1" selected="0">
            <x v="22"/>
          </reference>
        </references>
      </pivotArea>
    </format>
    <format dxfId="156">
      <pivotArea dataOnly="0" labelOnly="1" fieldPosition="0">
        <references count="3">
          <reference field="4" count="1" selected="0">
            <x v="56"/>
          </reference>
          <reference field="5" count="1">
            <x v="15"/>
          </reference>
          <reference field="14" count="1" selected="0">
            <x v="22"/>
          </reference>
        </references>
      </pivotArea>
    </format>
    <format dxfId="155">
      <pivotArea dataOnly="0" labelOnly="1" fieldPosition="0">
        <references count="3">
          <reference field="4" count="1" selected="0">
            <x v="57"/>
          </reference>
          <reference field="5" count="1">
            <x v="16"/>
          </reference>
          <reference field="14" count="1" selected="0">
            <x v="22"/>
          </reference>
        </references>
      </pivotArea>
    </format>
    <format dxfId="154">
      <pivotArea dataOnly="0" labelOnly="1" fieldPosition="0">
        <references count="4">
          <reference field="4" count="1" selected="0">
            <x v="12"/>
          </reference>
          <reference field="5" count="1" selected="0">
            <x v="77"/>
          </reference>
          <reference field="9" count="1">
            <x v="49"/>
          </reference>
          <reference field="14" count="1" selected="0">
            <x v="13"/>
          </reference>
        </references>
      </pivotArea>
    </format>
    <format dxfId="153">
      <pivotArea dataOnly="0" labelOnly="1" fieldPosition="0">
        <references count="4">
          <reference field="4" count="1" selected="0">
            <x v="15"/>
          </reference>
          <reference field="5" count="1" selected="0">
            <x v="73"/>
          </reference>
          <reference field="9" count="1">
            <x v="53"/>
          </reference>
          <reference field="14" count="1" selected="0">
            <x v="13"/>
          </reference>
        </references>
      </pivotArea>
    </format>
    <format dxfId="152">
      <pivotArea dataOnly="0" labelOnly="1" fieldPosition="0">
        <references count="4">
          <reference field="4" count="1" selected="0">
            <x v="22"/>
          </reference>
          <reference field="5" count="1" selected="0">
            <x v="45"/>
          </reference>
          <reference field="9" count="1">
            <x v="56"/>
          </reference>
          <reference field="14" count="1" selected="0">
            <x v="13"/>
          </reference>
        </references>
      </pivotArea>
    </format>
    <format dxfId="151">
      <pivotArea dataOnly="0" labelOnly="1" fieldPosition="0">
        <references count="4">
          <reference field="4" count="1" selected="0">
            <x v="43"/>
          </reference>
          <reference field="5" count="1" selected="0">
            <x v="41"/>
          </reference>
          <reference field="9" count="1">
            <x v="49"/>
          </reference>
          <reference field="14" count="1" selected="0">
            <x v="13"/>
          </reference>
        </references>
      </pivotArea>
    </format>
    <format dxfId="150">
      <pivotArea dataOnly="0" labelOnly="1" fieldPosition="0">
        <references count="4">
          <reference field="4" count="1" selected="0">
            <x v="46"/>
          </reference>
          <reference field="5" count="1" selected="0">
            <x v="44"/>
          </reference>
          <reference field="9" count="1">
            <x v="53"/>
          </reference>
          <reference field="14" count="1" selected="0">
            <x v="13"/>
          </reference>
        </references>
      </pivotArea>
    </format>
    <format dxfId="149">
      <pivotArea dataOnly="0" labelOnly="1" fieldPosition="0">
        <references count="4">
          <reference field="4" count="1" selected="0">
            <x v="50"/>
          </reference>
          <reference field="5" count="1" selected="0">
            <x v="29"/>
          </reference>
          <reference field="9" count="1">
            <x v="13"/>
          </reference>
          <reference field="14" count="1" selected="0">
            <x v="13"/>
          </reference>
        </references>
      </pivotArea>
    </format>
    <format dxfId="148">
      <pivotArea dataOnly="0" labelOnly="1" fieldPosition="0">
        <references count="4">
          <reference field="4" count="1" selected="0">
            <x v="54"/>
          </reference>
          <reference field="5" count="1" selected="0">
            <x v="27"/>
          </reference>
          <reference field="9" count="1">
            <x v="8"/>
          </reference>
          <reference field="14" count="1" selected="0">
            <x v="13"/>
          </reference>
        </references>
      </pivotArea>
    </format>
    <format dxfId="147">
      <pivotArea dataOnly="0" labelOnly="1" fieldPosition="0">
        <references count="4">
          <reference field="4" count="1" selected="0">
            <x v="55"/>
          </reference>
          <reference field="5" count="1" selected="0">
            <x v="14"/>
          </reference>
          <reference field="9" count="1">
            <x v="13"/>
          </reference>
          <reference field="14" count="1" selected="0">
            <x v="13"/>
          </reference>
        </references>
      </pivotArea>
    </format>
    <format dxfId="146">
      <pivotArea dataOnly="0" labelOnly="1" fieldPosition="0">
        <references count="4">
          <reference field="4" count="1" selected="0">
            <x v="2"/>
          </reference>
          <reference field="5" count="1" selected="0">
            <x v="74"/>
          </reference>
          <reference field="9" count="2">
            <x v="37"/>
            <x v="38"/>
          </reference>
          <reference field="14" count="1" selected="0">
            <x v="14"/>
          </reference>
        </references>
      </pivotArea>
    </format>
    <format dxfId="145">
      <pivotArea dataOnly="0" labelOnly="1" fieldPosition="0">
        <references count="4">
          <reference field="4" count="1" selected="0">
            <x v="4"/>
          </reference>
          <reference field="5" count="1" selected="0">
            <x v="76"/>
          </reference>
          <reference field="9" count="2">
            <x v="43"/>
            <x v="44"/>
          </reference>
          <reference field="14" count="1" selected="0">
            <x v="14"/>
          </reference>
        </references>
      </pivotArea>
    </format>
    <format dxfId="144">
      <pivotArea dataOnly="0" labelOnly="1" fieldPosition="0">
        <references count="4">
          <reference field="4" count="1" selected="0">
            <x v="5"/>
          </reference>
          <reference field="5" count="1" selected="0">
            <x v="66"/>
          </reference>
          <reference field="9" count="2">
            <x v="39"/>
            <x v="40"/>
          </reference>
          <reference field="14" count="1" selected="0">
            <x v="14"/>
          </reference>
        </references>
      </pivotArea>
    </format>
    <format dxfId="143">
      <pivotArea dataOnly="0" labelOnly="1" fieldPosition="0">
        <references count="4">
          <reference field="4" count="1" selected="0">
            <x v="7"/>
          </reference>
          <reference field="5" count="1" selected="0">
            <x v="75"/>
          </reference>
          <reference field="9" count="2">
            <x v="37"/>
            <x v="38"/>
          </reference>
          <reference field="14" count="1" selected="0">
            <x v="14"/>
          </reference>
        </references>
      </pivotArea>
    </format>
    <format dxfId="142">
      <pivotArea dataOnly="0" labelOnly="1" fieldPosition="0">
        <references count="4">
          <reference field="4" count="1" selected="0">
            <x v="9"/>
          </reference>
          <reference field="5" count="1" selected="0">
            <x v="76"/>
          </reference>
          <reference field="9" count="2">
            <x v="43"/>
            <x v="44"/>
          </reference>
          <reference field="14" count="1" selected="0">
            <x v="14"/>
          </reference>
        </references>
      </pivotArea>
    </format>
    <format dxfId="141">
      <pivotArea dataOnly="0" labelOnly="1" fieldPosition="0">
        <references count="4">
          <reference field="4" count="1" selected="0">
            <x v="10"/>
          </reference>
          <reference field="5" count="1" selected="0">
            <x v="68"/>
          </reference>
          <reference field="9" count="2">
            <x v="35"/>
            <x v="36"/>
          </reference>
          <reference field="14" count="1" selected="0">
            <x v="14"/>
          </reference>
        </references>
      </pivotArea>
    </format>
    <format dxfId="140">
      <pivotArea dataOnly="0" labelOnly="1" fieldPosition="0">
        <references count="4">
          <reference field="4" count="1" selected="0">
            <x v="49"/>
          </reference>
          <reference field="5" count="1" selected="0">
            <x v="36"/>
          </reference>
          <reference field="9" count="1">
            <x v="23"/>
          </reference>
          <reference field="14" count="1" selected="0">
            <x v="15"/>
          </reference>
        </references>
      </pivotArea>
    </format>
    <format dxfId="139">
      <pivotArea dataOnly="0" labelOnly="1" fieldPosition="0">
        <references count="4">
          <reference field="4" count="1" selected="0">
            <x v="32"/>
          </reference>
          <reference field="5" count="1" selected="0">
            <x v="46"/>
          </reference>
          <reference field="9" count="1">
            <x v="57"/>
          </reference>
          <reference field="14" count="1" selected="0">
            <x v="18"/>
          </reference>
        </references>
      </pivotArea>
    </format>
    <format dxfId="138">
      <pivotArea dataOnly="0" labelOnly="1" fieldPosition="0">
        <references count="4">
          <reference field="4" count="1" selected="0">
            <x v="33"/>
          </reference>
          <reference field="5" count="1" selected="0">
            <x v="47"/>
          </reference>
          <reference field="9" count="1">
            <x v="59"/>
          </reference>
          <reference field="14" count="1" selected="0">
            <x v="18"/>
          </reference>
        </references>
      </pivotArea>
    </format>
    <format dxfId="137">
      <pivotArea dataOnly="0" labelOnly="1" fieldPosition="0">
        <references count="4">
          <reference field="4" count="1" selected="0">
            <x v="0"/>
          </reference>
          <reference field="5" count="1" selected="0">
            <x v="63"/>
          </reference>
          <reference field="9" count="2">
            <x v="0"/>
            <x v="1"/>
          </reference>
          <reference field="14" count="1" selected="0">
            <x v="19"/>
          </reference>
        </references>
      </pivotArea>
    </format>
    <format dxfId="136">
      <pivotArea dataOnly="0" labelOnly="1" fieldPosition="0">
        <references count="4">
          <reference field="4" count="1" selected="0">
            <x v="58"/>
          </reference>
          <reference field="5" count="1" selected="0">
            <x v="10"/>
          </reference>
          <reference field="9" count="6">
            <x v="33"/>
            <x v="34"/>
            <x v="35"/>
            <x v="36"/>
            <x v="37"/>
            <x v="38"/>
          </reference>
          <reference field="14" count="1" selected="0">
            <x v="20"/>
          </reference>
        </references>
      </pivotArea>
    </format>
    <format dxfId="135">
      <pivotArea dataOnly="0" labelOnly="1" fieldPosition="0">
        <references count="4">
          <reference field="4" count="1" selected="0">
            <x v="59"/>
          </reference>
          <reference field="5" count="1" selected="0">
            <x v="12"/>
          </reference>
          <reference field="9" count="6">
            <x v="33"/>
            <x v="34"/>
            <x v="35"/>
            <x v="36"/>
            <x v="37"/>
            <x v="38"/>
          </reference>
          <reference field="14" count="1" selected="0">
            <x v="20"/>
          </reference>
        </references>
      </pivotArea>
    </format>
    <format dxfId="134">
      <pivotArea dataOnly="0" labelOnly="1" fieldPosition="0">
        <references count="4">
          <reference field="4" count="1" selected="0">
            <x v="11"/>
          </reference>
          <reference field="5" count="1" selected="0">
            <x v="67"/>
          </reference>
          <reference field="9" count="1">
            <x v="25"/>
          </reference>
          <reference field="14" count="1" selected="0">
            <x v="21"/>
          </reference>
        </references>
      </pivotArea>
    </format>
    <format dxfId="133">
      <pivotArea dataOnly="0" labelOnly="1" fieldPosition="0">
        <references count="4">
          <reference field="4" count="1" selected="0">
            <x v="30"/>
          </reference>
          <reference field="5" count="1" selected="0">
            <x v="17"/>
          </reference>
          <reference field="9" count="1">
            <x v="54"/>
          </reference>
          <reference field="14" count="1" selected="0">
            <x v="21"/>
          </reference>
        </references>
      </pivotArea>
    </format>
    <format dxfId="132">
      <pivotArea dataOnly="0" labelOnly="1" fieldPosition="0">
        <references count="4">
          <reference field="4" count="1" selected="0">
            <x v="31"/>
          </reference>
          <reference field="5" count="1" selected="0">
            <x v="19"/>
          </reference>
          <reference field="9" count="1">
            <x v="55"/>
          </reference>
          <reference field="14" count="1" selected="0">
            <x v="21"/>
          </reference>
        </references>
      </pivotArea>
    </format>
    <format dxfId="131">
      <pivotArea dataOnly="0" labelOnly="1" fieldPosition="0">
        <references count="4">
          <reference field="4" count="1" selected="0">
            <x v="37"/>
          </reference>
          <reference field="5" count="1" selected="0">
            <x v="38"/>
          </reference>
          <reference field="9" count="1">
            <x v="25"/>
          </reference>
          <reference field="14" count="1" selected="0">
            <x v="21"/>
          </reference>
        </references>
      </pivotArea>
    </format>
    <format dxfId="130">
      <pivotArea dataOnly="0" labelOnly="1" fieldPosition="0">
        <references count="4">
          <reference field="4" count="1" selected="0">
            <x v="0"/>
          </reference>
          <reference field="5" count="1" selected="0">
            <x v="63"/>
          </reference>
          <reference field="9" count="2">
            <x v="0"/>
            <x v="6"/>
          </reference>
          <reference field="14" count="1" selected="0">
            <x v="22"/>
          </reference>
        </references>
      </pivotArea>
    </format>
    <format dxfId="129">
      <pivotArea dataOnly="0" labelOnly="1" fieldPosition="0">
        <references count="4">
          <reference field="4" count="1" selected="0">
            <x v="3"/>
          </reference>
          <reference field="5" count="1" selected="0">
            <x v="69"/>
          </reference>
          <reference field="9" count="2">
            <x v="41"/>
            <x v="42"/>
          </reference>
          <reference field="14" count="1" selected="0">
            <x v="22"/>
          </reference>
        </references>
      </pivotArea>
    </format>
    <format dxfId="128">
      <pivotArea dataOnly="0" labelOnly="1" fieldPosition="0">
        <references count="4">
          <reference field="4" count="1" selected="0">
            <x v="18"/>
          </reference>
          <reference field="5" count="1" selected="0">
            <x v="22"/>
          </reference>
          <reference field="9" count="1">
            <x v="0"/>
          </reference>
          <reference field="14" count="1" selected="0">
            <x v="22"/>
          </reference>
        </references>
      </pivotArea>
    </format>
    <format dxfId="127">
      <pivotArea dataOnly="0" labelOnly="1" fieldPosition="0">
        <references count="4">
          <reference field="4" count="1" selected="0">
            <x v="21"/>
          </reference>
          <reference field="5" count="1" selected="0">
            <x v="25"/>
          </reference>
          <reference field="9" count="1">
            <x v="6"/>
          </reference>
          <reference field="14" count="1" selected="0">
            <x v="22"/>
          </reference>
        </references>
      </pivotArea>
    </format>
    <format dxfId="126">
      <pivotArea dataOnly="0" labelOnly="1" fieldPosition="0">
        <references count="4">
          <reference field="4" count="1" selected="0">
            <x v="30"/>
          </reference>
          <reference field="5" count="1" selected="0">
            <x v="17"/>
          </reference>
          <reference field="9" count="1">
            <x v="54"/>
          </reference>
          <reference field="14" count="1" selected="0">
            <x v="22"/>
          </reference>
        </references>
      </pivotArea>
    </format>
    <format dxfId="125">
      <pivotArea dataOnly="0" labelOnly="1" fieldPosition="0">
        <references count="4">
          <reference field="4" count="1" selected="0">
            <x v="38"/>
          </reference>
          <reference field="5" count="1" selected="0">
            <x v="32"/>
          </reference>
          <reference field="9" count="1">
            <x v="16"/>
          </reference>
          <reference field="14" count="1" selected="0">
            <x v="22"/>
          </reference>
        </references>
      </pivotArea>
    </format>
    <format dxfId="124">
      <pivotArea dataOnly="0" labelOnly="1" fieldPosition="0">
        <references count="4">
          <reference field="4" count="1" selected="0">
            <x v="40"/>
          </reference>
          <reference field="5" count="1" selected="0">
            <x v="35"/>
          </reference>
          <reference field="9" count="1">
            <x v="22"/>
          </reference>
          <reference field="14" count="1" selected="0">
            <x v="22"/>
          </reference>
        </references>
      </pivotArea>
    </format>
    <format dxfId="123">
      <pivotArea dataOnly="0" labelOnly="1" fieldPosition="0">
        <references count="4">
          <reference field="4" count="1" selected="0">
            <x v="48"/>
          </reference>
          <reference field="5" count="1" selected="0">
            <x v="33"/>
          </reference>
          <reference field="9" count="1">
            <x v="17"/>
          </reference>
          <reference field="14" count="1" selected="0">
            <x v="22"/>
          </reference>
        </references>
      </pivotArea>
    </format>
    <format dxfId="122">
      <pivotArea dataOnly="0" labelOnly="1" fieldPosition="0">
        <references count="4">
          <reference field="4" count="1" selected="0">
            <x v="49"/>
          </reference>
          <reference field="5" count="1" selected="0">
            <x v="36"/>
          </reference>
          <reference field="9" count="1">
            <x v="23"/>
          </reference>
          <reference field="14" count="1" selected="0">
            <x v="22"/>
          </reference>
        </references>
      </pivotArea>
    </format>
    <format dxfId="121">
      <pivotArea dataOnly="0" labelOnly="1" fieldPosition="0">
        <references count="4">
          <reference field="4" count="1" selected="0">
            <x v="52"/>
          </reference>
          <reference field="5" count="1" selected="0">
            <x v="34"/>
          </reference>
          <reference field="9" count="1">
            <x v="21"/>
          </reference>
          <reference field="14" count="1" selected="0">
            <x v="22"/>
          </reference>
        </references>
      </pivotArea>
    </format>
    <format dxfId="120">
      <pivotArea dataOnly="0" labelOnly="1" fieldPosition="0">
        <references count="4">
          <reference field="4" count="1" selected="0">
            <x v="53"/>
          </reference>
          <reference field="5" count="1" selected="0">
            <x v="37"/>
          </reference>
          <reference field="9" count="1">
            <x v="24"/>
          </reference>
          <reference field="14" count="1" selected="0">
            <x v="22"/>
          </reference>
        </references>
      </pivotArea>
    </format>
    <format dxfId="119">
      <pivotArea dataOnly="0" labelOnly="1" fieldPosition="0">
        <references count="4">
          <reference field="4" count="1" selected="0">
            <x v="55"/>
          </reference>
          <reference field="5" count="1" selected="0">
            <x v="14"/>
          </reference>
          <reference field="9" count="1">
            <x v="11"/>
          </reference>
          <reference field="14" count="1" selected="0">
            <x v="22"/>
          </reference>
        </references>
      </pivotArea>
    </format>
    <format dxfId="118">
      <pivotArea dataOnly="0" labelOnly="1" fieldPosition="0">
        <references count="4">
          <reference field="4" count="1" selected="0">
            <x v="56"/>
          </reference>
          <reference field="5" count="1" selected="0">
            <x v="15"/>
          </reference>
          <reference field="9" count="1">
            <x v="14"/>
          </reference>
          <reference field="14" count="1" selected="0">
            <x v="22"/>
          </reference>
        </references>
      </pivotArea>
    </format>
    <format dxfId="117">
      <pivotArea dataOnly="0" labelOnly="1" fieldPosition="0">
        <references count="4">
          <reference field="4" count="1" selected="0">
            <x v="57"/>
          </reference>
          <reference field="5" count="1" selected="0">
            <x v="16"/>
          </reference>
          <reference field="9" count="1">
            <x v="17"/>
          </reference>
          <reference field="14" count="1" selected="0">
            <x v="22"/>
          </reference>
        </references>
      </pivotArea>
    </format>
    <format dxfId="116">
      <pivotArea dataOnly="0" labelOnly="1" fieldPosition="0">
        <references count="5">
          <reference field="4" count="1" selected="0">
            <x v="12"/>
          </reference>
          <reference field="5" count="1" selected="0">
            <x v="77"/>
          </reference>
          <reference field="8" count="1">
            <x v="30"/>
          </reference>
          <reference field="9" count="1" selected="0">
            <x v="49"/>
          </reference>
          <reference field="14" count="1" selected="0">
            <x v="13"/>
          </reference>
        </references>
      </pivotArea>
    </format>
    <format dxfId="115">
      <pivotArea dataOnly="0" labelOnly="1" fieldPosition="0">
        <references count="5">
          <reference field="4" count="1" selected="0">
            <x v="15"/>
          </reference>
          <reference field="5" count="1" selected="0">
            <x v="73"/>
          </reference>
          <reference field="8" count="1">
            <x v="12"/>
          </reference>
          <reference field="9" count="1" selected="0">
            <x v="53"/>
          </reference>
          <reference field="14" count="1" selected="0">
            <x v="13"/>
          </reference>
        </references>
      </pivotArea>
    </format>
    <format dxfId="114">
      <pivotArea dataOnly="0" labelOnly="1" fieldPosition="0">
        <references count="5">
          <reference field="4" count="1" selected="0">
            <x v="22"/>
          </reference>
          <reference field="5" count="1" selected="0">
            <x v="45"/>
          </reference>
          <reference field="8" count="1">
            <x v="18"/>
          </reference>
          <reference field="9" count="1" selected="0">
            <x v="56"/>
          </reference>
          <reference field="14" count="1" selected="0">
            <x v="13"/>
          </reference>
        </references>
      </pivotArea>
    </format>
    <format dxfId="113">
      <pivotArea dataOnly="0" labelOnly="1" fieldPosition="0">
        <references count="5">
          <reference field="4" count="1" selected="0">
            <x v="43"/>
          </reference>
          <reference field="5" count="1" selected="0">
            <x v="41"/>
          </reference>
          <reference field="8" count="1">
            <x v="30"/>
          </reference>
          <reference field="9" count="1" selected="0">
            <x v="49"/>
          </reference>
          <reference field="14" count="1" selected="0">
            <x v="13"/>
          </reference>
        </references>
      </pivotArea>
    </format>
    <format dxfId="112">
      <pivotArea dataOnly="0" labelOnly="1" fieldPosition="0">
        <references count="5">
          <reference field="4" count="1" selected="0">
            <x v="46"/>
          </reference>
          <reference field="5" count="1" selected="0">
            <x v="44"/>
          </reference>
          <reference field="8" count="1">
            <x v="12"/>
          </reference>
          <reference field="9" count="1" selected="0">
            <x v="53"/>
          </reference>
          <reference field="14" count="1" selected="0">
            <x v="13"/>
          </reference>
        </references>
      </pivotArea>
    </format>
    <format dxfId="111">
      <pivotArea dataOnly="0" labelOnly="1" fieldPosition="0">
        <references count="5">
          <reference field="4" count="1" selected="0">
            <x v="50"/>
          </reference>
          <reference field="5" count="1" selected="0">
            <x v="29"/>
          </reference>
          <reference field="8" count="1">
            <x v="71"/>
          </reference>
          <reference field="9" count="1" selected="0">
            <x v="13"/>
          </reference>
          <reference field="14" count="1" selected="0">
            <x v="13"/>
          </reference>
        </references>
      </pivotArea>
    </format>
    <format dxfId="110">
      <pivotArea dataOnly="0" labelOnly="1" fieldPosition="0">
        <references count="5">
          <reference field="4" count="1" selected="0">
            <x v="54"/>
          </reference>
          <reference field="5" count="1" selected="0">
            <x v="27"/>
          </reference>
          <reference field="8" count="1">
            <x v="75"/>
          </reference>
          <reference field="9" count="1" selected="0">
            <x v="8"/>
          </reference>
          <reference field="14" count="1" selected="0">
            <x v="13"/>
          </reference>
        </references>
      </pivotArea>
    </format>
    <format dxfId="109">
      <pivotArea dataOnly="0" labelOnly="1" fieldPosition="0">
        <references count="5">
          <reference field="4" count="1" selected="0">
            <x v="55"/>
          </reference>
          <reference field="5" count="1" selected="0">
            <x v="14"/>
          </reference>
          <reference field="8" count="1">
            <x v="71"/>
          </reference>
          <reference field="9" count="1" selected="0">
            <x v="13"/>
          </reference>
          <reference field="14" count="1" selected="0">
            <x v="13"/>
          </reference>
        </references>
      </pivotArea>
    </format>
    <format dxfId="108">
      <pivotArea dataOnly="0" labelOnly="1" fieldPosition="0">
        <references count="5">
          <reference field="4" count="1" selected="0">
            <x v="2"/>
          </reference>
          <reference field="5" count="1" selected="0">
            <x v="74"/>
          </reference>
          <reference field="8" count="1">
            <x v="50"/>
          </reference>
          <reference field="9" count="1" selected="0">
            <x v="37"/>
          </reference>
          <reference field="14" count="1" selected="0">
            <x v="14"/>
          </reference>
        </references>
      </pivotArea>
    </format>
    <format dxfId="107">
      <pivotArea dataOnly="0" labelOnly="1" fieldPosition="0">
        <references count="5">
          <reference field="4" count="1" selected="0">
            <x v="2"/>
          </reference>
          <reference field="5" count="1" selected="0">
            <x v="74"/>
          </reference>
          <reference field="8" count="1">
            <x v="51"/>
          </reference>
          <reference field="9" count="1" selected="0">
            <x v="38"/>
          </reference>
          <reference field="14" count="1" selected="0">
            <x v="14"/>
          </reference>
        </references>
      </pivotArea>
    </format>
    <format dxfId="106">
      <pivotArea dataOnly="0" labelOnly="1" fieldPosition="0">
        <references count="5">
          <reference field="4" count="1" selected="0">
            <x v="4"/>
          </reference>
          <reference field="5" count="1" selected="0">
            <x v="76"/>
          </reference>
          <reference field="8" count="1">
            <x v="54"/>
          </reference>
          <reference field="9" count="1" selected="0">
            <x v="43"/>
          </reference>
          <reference field="14" count="1" selected="0">
            <x v="14"/>
          </reference>
        </references>
      </pivotArea>
    </format>
    <format dxfId="105">
      <pivotArea dataOnly="0" labelOnly="1" fieldPosition="0">
        <references count="5">
          <reference field="4" count="1" selected="0">
            <x v="4"/>
          </reference>
          <reference field="5" count="1" selected="0">
            <x v="76"/>
          </reference>
          <reference field="8" count="1">
            <x v="55"/>
          </reference>
          <reference field="9" count="1" selected="0">
            <x v="44"/>
          </reference>
          <reference field="14" count="1" selected="0">
            <x v="14"/>
          </reference>
        </references>
      </pivotArea>
    </format>
    <format dxfId="104">
      <pivotArea dataOnly="0" labelOnly="1" fieldPosition="0">
        <references count="5">
          <reference field="4" count="1" selected="0">
            <x v="5"/>
          </reference>
          <reference field="5" count="1" selected="0">
            <x v="66"/>
          </reference>
          <reference field="8" count="1">
            <x v="64"/>
          </reference>
          <reference field="9" count="1" selected="0">
            <x v="39"/>
          </reference>
          <reference field="14" count="1" selected="0">
            <x v="14"/>
          </reference>
        </references>
      </pivotArea>
    </format>
    <format dxfId="103">
      <pivotArea dataOnly="0" labelOnly="1" fieldPosition="0">
        <references count="5">
          <reference field="4" count="1" selected="0">
            <x v="5"/>
          </reference>
          <reference field="5" count="1" selected="0">
            <x v="66"/>
          </reference>
          <reference field="8" count="1">
            <x v="65"/>
          </reference>
          <reference field="9" count="1" selected="0">
            <x v="40"/>
          </reference>
          <reference field="14" count="1" selected="0">
            <x v="14"/>
          </reference>
        </references>
      </pivotArea>
    </format>
    <format dxfId="102">
      <pivotArea dataOnly="0" labelOnly="1" fieldPosition="0">
        <references count="5">
          <reference field="4" count="1" selected="0">
            <x v="7"/>
          </reference>
          <reference field="5" count="1" selected="0">
            <x v="75"/>
          </reference>
          <reference field="8" count="1">
            <x v="52"/>
          </reference>
          <reference field="9" count="1" selected="0">
            <x v="37"/>
          </reference>
          <reference field="14" count="1" selected="0">
            <x v="14"/>
          </reference>
        </references>
      </pivotArea>
    </format>
    <format dxfId="101">
      <pivotArea dataOnly="0" labelOnly="1" fieldPosition="0">
        <references count="5">
          <reference field="4" count="1" selected="0">
            <x v="7"/>
          </reference>
          <reference field="5" count="1" selected="0">
            <x v="75"/>
          </reference>
          <reference field="8" count="1">
            <x v="53"/>
          </reference>
          <reference field="9" count="1" selected="0">
            <x v="38"/>
          </reference>
          <reference field="14" count="1" selected="0">
            <x v="14"/>
          </reference>
        </references>
      </pivotArea>
    </format>
    <format dxfId="100">
      <pivotArea dataOnly="0" labelOnly="1" fieldPosition="0">
        <references count="5">
          <reference field="4" count="1" selected="0">
            <x v="9"/>
          </reference>
          <reference field="5" count="1" selected="0">
            <x v="76"/>
          </reference>
          <reference field="8" count="1">
            <x v="56"/>
          </reference>
          <reference field="9" count="1" selected="0">
            <x v="43"/>
          </reference>
          <reference field="14" count="1" selected="0">
            <x v="14"/>
          </reference>
        </references>
      </pivotArea>
    </format>
    <format dxfId="99">
      <pivotArea dataOnly="0" labelOnly="1" fieldPosition="0">
        <references count="5">
          <reference field="4" count="1" selected="0">
            <x v="9"/>
          </reference>
          <reference field="5" count="1" selected="0">
            <x v="76"/>
          </reference>
          <reference field="8" count="1">
            <x v="57"/>
          </reference>
          <reference field="9" count="1" selected="0">
            <x v="44"/>
          </reference>
          <reference field="14" count="1" selected="0">
            <x v="14"/>
          </reference>
        </references>
      </pivotArea>
    </format>
    <format dxfId="98">
      <pivotArea dataOnly="0" labelOnly="1" fieldPosition="0">
        <references count="5">
          <reference field="4" count="1" selected="0">
            <x v="10"/>
          </reference>
          <reference field="5" count="1" selected="0">
            <x v="68"/>
          </reference>
          <reference field="8" count="1">
            <x v="62"/>
          </reference>
          <reference field="9" count="1" selected="0">
            <x v="35"/>
          </reference>
          <reference field="14" count="1" selected="0">
            <x v="14"/>
          </reference>
        </references>
      </pivotArea>
    </format>
    <format dxfId="97">
      <pivotArea dataOnly="0" labelOnly="1" fieldPosition="0">
        <references count="5">
          <reference field="4" count="1" selected="0">
            <x v="10"/>
          </reference>
          <reference field="5" count="1" selected="0">
            <x v="68"/>
          </reference>
          <reference field="8" count="1">
            <x v="63"/>
          </reference>
          <reference field="9" count="1" selected="0">
            <x v="36"/>
          </reference>
          <reference field="14" count="1" selected="0">
            <x v="14"/>
          </reference>
        </references>
      </pivotArea>
    </format>
    <format dxfId="96">
      <pivotArea dataOnly="0" labelOnly="1" fieldPosition="0">
        <references count="5">
          <reference field="4" count="1" selected="0">
            <x v="49"/>
          </reference>
          <reference field="5" count="1" selected="0">
            <x v="36"/>
          </reference>
          <reference field="8" count="1">
            <x v="86"/>
          </reference>
          <reference field="9" count="1" selected="0">
            <x v="23"/>
          </reference>
          <reference field="14" count="1" selected="0">
            <x v="15"/>
          </reference>
        </references>
      </pivotArea>
    </format>
    <format dxfId="95">
      <pivotArea dataOnly="0" labelOnly="1" fieldPosition="0">
        <references count="5">
          <reference field="4" count="1" selected="0">
            <x v="32"/>
          </reference>
          <reference field="5" count="1" selected="0">
            <x v="46"/>
          </reference>
          <reference field="8" count="1">
            <x v="28"/>
          </reference>
          <reference field="9" count="1" selected="0">
            <x v="57"/>
          </reference>
          <reference field="14" count="1" selected="0">
            <x v="18"/>
          </reference>
        </references>
      </pivotArea>
    </format>
    <format dxfId="94">
      <pivotArea dataOnly="0" labelOnly="1" fieldPosition="0">
        <references count="5">
          <reference field="4" count="1" selected="0">
            <x v="33"/>
          </reference>
          <reference field="5" count="1" selected="0">
            <x v="47"/>
          </reference>
          <reference field="8" count="2">
            <x v="43"/>
            <x v="44"/>
          </reference>
          <reference field="9" count="1" selected="0">
            <x v="59"/>
          </reference>
          <reference field="14" count="1" selected="0">
            <x v="18"/>
          </reference>
        </references>
      </pivotArea>
    </format>
    <format dxfId="93">
      <pivotArea dataOnly="0" labelOnly="1" fieldPosition="0">
        <references count="5">
          <reference field="4" count="1" selected="0">
            <x v="0"/>
          </reference>
          <reference field="5" count="1" selected="0">
            <x v="63"/>
          </reference>
          <reference field="8" count="1">
            <x v="22"/>
          </reference>
          <reference field="9" count="1" selected="0">
            <x v="0"/>
          </reference>
          <reference field="14" count="1" selected="0">
            <x v="19"/>
          </reference>
        </references>
      </pivotArea>
    </format>
    <format dxfId="92">
      <pivotArea dataOnly="0" labelOnly="1" fieldPosition="0">
        <references count="5">
          <reference field="4" count="1" selected="0">
            <x v="0"/>
          </reference>
          <reference field="5" count="1" selected="0">
            <x v="63"/>
          </reference>
          <reference field="8" count="1">
            <x v="66"/>
          </reference>
          <reference field="9" count="1" selected="0">
            <x v="1"/>
          </reference>
          <reference field="14" count="1" selected="0">
            <x v="19"/>
          </reference>
        </references>
      </pivotArea>
    </format>
    <format dxfId="91">
      <pivotArea dataOnly="0" labelOnly="1" fieldPosition="0">
        <references count="5">
          <reference field="4" count="1" selected="0">
            <x v="58"/>
          </reference>
          <reference field="5" count="1" selected="0">
            <x v="10"/>
          </reference>
          <reference field="8" count="2">
            <x v="46"/>
            <x v="48"/>
          </reference>
          <reference field="9" count="1" selected="0">
            <x v="33"/>
          </reference>
          <reference field="14" count="1" selected="0">
            <x v="20"/>
          </reference>
        </references>
      </pivotArea>
    </format>
    <format dxfId="90">
      <pivotArea dataOnly="0" labelOnly="1" fieldPosition="0">
        <references count="5">
          <reference field="4" count="1" selected="0">
            <x v="58"/>
          </reference>
          <reference field="5" count="1" selected="0">
            <x v="10"/>
          </reference>
          <reference field="8" count="2">
            <x v="47"/>
            <x v="49"/>
          </reference>
          <reference field="9" count="1" selected="0">
            <x v="34"/>
          </reference>
          <reference field="14" count="1" selected="0">
            <x v="20"/>
          </reference>
        </references>
      </pivotArea>
    </format>
    <format dxfId="89">
      <pivotArea dataOnly="0" labelOnly="1" fieldPosition="0">
        <references count="5">
          <reference field="4" count="1" selected="0">
            <x v="58"/>
          </reference>
          <reference field="5" count="1" selected="0">
            <x v="10"/>
          </reference>
          <reference field="8" count="1">
            <x v="62"/>
          </reference>
          <reference field="9" count="1" selected="0">
            <x v="35"/>
          </reference>
          <reference field="14" count="1" selected="0">
            <x v="20"/>
          </reference>
        </references>
      </pivotArea>
    </format>
    <format dxfId="88">
      <pivotArea dataOnly="0" labelOnly="1" fieldPosition="0">
        <references count="5">
          <reference field="4" count="1" selected="0">
            <x v="58"/>
          </reference>
          <reference field="5" count="1" selected="0">
            <x v="10"/>
          </reference>
          <reference field="8" count="1">
            <x v="63"/>
          </reference>
          <reference field="9" count="1" selected="0">
            <x v="36"/>
          </reference>
          <reference field="14" count="1" selected="0">
            <x v="20"/>
          </reference>
        </references>
      </pivotArea>
    </format>
    <format dxfId="87">
      <pivotArea dataOnly="0" labelOnly="1" fieldPosition="0">
        <references count="5">
          <reference field="4" count="1" selected="0">
            <x v="58"/>
          </reference>
          <reference field="5" count="1" selected="0">
            <x v="10"/>
          </reference>
          <reference field="8" count="2">
            <x v="50"/>
            <x v="52"/>
          </reference>
          <reference field="9" count="1" selected="0">
            <x v="37"/>
          </reference>
          <reference field="14" count="1" selected="0">
            <x v="20"/>
          </reference>
        </references>
      </pivotArea>
    </format>
    <format dxfId="86">
      <pivotArea dataOnly="0" labelOnly="1" fieldPosition="0">
        <references count="5">
          <reference field="4" count="1" selected="0">
            <x v="58"/>
          </reference>
          <reference field="5" count="1" selected="0">
            <x v="10"/>
          </reference>
          <reference field="8" count="2">
            <x v="51"/>
            <x v="53"/>
          </reference>
          <reference field="9" count="1" selected="0">
            <x v="38"/>
          </reference>
          <reference field="14" count="1" selected="0">
            <x v="20"/>
          </reference>
        </references>
      </pivotArea>
    </format>
    <format dxfId="85">
      <pivotArea dataOnly="0" labelOnly="1" fieldPosition="0">
        <references count="5">
          <reference field="4" count="1" selected="0">
            <x v="59"/>
          </reference>
          <reference field="5" count="1" selected="0">
            <x v="12"/>
          </reference>
          <reference field="8" count="2">
            <x v="46"/>
            <x v="48"/>
          </reference>
          <reference field="9" count="1" selected="0">
            <x v="33"/>
          </reference>
          <reference field="14" count="1" selected="0">
            <x v="20"/>
          </reference>
        </references>
      </pivotArea>
    </format>
    <format dxfId="84">
      <pivotArea dataOnly="0" labelOnly="1" fieldPosition="0">
        <references count="5">
          <reference field="4" count="1" selected="0">
            <x v="59"/>
          </reference>
          <reference field="5" count="1" selected="0">
            <x v="12"/>
          </reference>
          <reference field="8" count="2">
            <x v="47"/>
            <x v="49"/>
          </reference>
          <reference field="9" count="1" selected="0">
            <x v="34"/>
          </reference>
          <reference field="14" count="1" selected="0">
            <x v="20"/>
          </reference>
        </references>
      </pivotArea>
    </format>
    <format dxfId="83">
      <pivotArea dataOnly="0" labelOnly="1" fieldPosition="0">
        <references count="5">
          <reference field="4" count="1" selected="0">
            <x v="59"/>
          </reference>
          <reference field="5" count="1" selected="0">
            <x v="12"/>
          </reference>
          <reference field="8" count="1">
            <x v="62"/>
          </reference>
          <reference field="9" count="1" selected="0">
            <x v="35"/>
          </reference>
          <reference field="14" count="1" selected="0">
            <x v="20"/>
          </reference>
        </references>
      </pivotArea>
    </format>
    <format dxfId="82">
      <pivotArea dataOnly="0" labelOnly="1" fieldPosition="0">
        <references count="5">
          <reference field="4" count="1" selected="0">
            <x v="59"/>
          </reference>
          <reference field="5" count="1" selected="0">
            <x v="12"/>
          </reference>
          <reference field="8" count="1">
            <x v="63"/>
          </reference>
          <reference field="9" count="1" selected="0">
            <x v="36"/>
          </reference>
          <reference field="14" count="1" selected="0">
            <x v="20"/>
          </reference>
        </references>
      </pivotArea>
    </format>
    <format dxfId="81">
      <pivotArea dataOnly="0" labelOnly="1" fieldPosition="0">
        <references count="5">
          <reference field="4" count="1" selected="0">
            <x v="59"/>
          </reference>
          <reference field="5" count="1" selected="0">
            <x v="12"/>
          </reference>
          <reference field="8" count="2">
            <x v="50"/>
            <x v="52"/>
          </reference>
          <reference field="9" count="1" selected="0">
            <x v="37"/>
          </reference>
          <reference field="14" count="1" selected="0">
            <x v="20"/>
          </reference>
        </references>
      </pivotArea>
    </format>
    <format dxfId="80">
      <pivotArea dataOnly="0" labelOnly="1" fieldPosition="0">
        <references count="5">
          <reference field="4" count="1" selected="0">
            <x v="59"/>
          </reference>
          <reference field="5" count="1" selected="0">
            <x v="12"/>
          </reference>
          <reference field="8" count="2">
            <x v="51"/>
            <x v="53"/>
          </reference>
          <reference field="9" count="1" selected="0">
            <x v="38"/>
          </reference>
          <reference field="14" count="1" selected="0">
            <x v="20"/>
          </reference>
        </references>
      </pivotArea>
    </format>
    <format dxfId="79">
      <pivotArea dataOnly="0" labelOnly="1" fieldPosition="0">
        <references count="5">
          <reference field="4" count="1" selected="0">
            <x v="11"/>
          </reference>
          <reference field="5" count="1" selected="0">
            <x v="67"/>
          </reference>
          <reference field="8" count="3">
            <x v="88"/>
            <x v="89"/>
            <x v="90"/>
          </reference>
          <reference field="9" count="1" selected="0">
            <x v="25"/>
          </reference>
          <reference field="14" count="1" selected="0">
            <x v="21"/>
          </reference>
        </references>
      </pivotArea>
    </format>
    <format dxfId="78">
      <pivotArea dataOnly="0" labelOnly="1" fieldPosition="0">
        <references count="5">
          <reference field="4" count="1" selected="0">
            <x v="30"/>
          </reference>
          <reference field="5" count="1" selected="0">
            <x v="17"/>
          </reference>
          <reference field="8" count="1">
            <x v="81"/>
          </reference>
          <reference field="9" count="1" selected="0">
            <x v="54"/>
          </reference>
          <reference field="14" count="1" selected="0">
            <x v="21"/>
          </reference>
        </references>
      </pivotArea>
    </format>
    <format dxfId="77">
      <pivotArea dataOnly="0" labelOnly="1" fieldPosition="0">
        <references count="5">
          <reference field="4" count="1" selected="0">
            <x v="31"/>
          </reference>
          <reference field="5" count="1" selected="0">
            <x v="19"/>
          </reference>
          <reference field="8" count="3">
            <x v="82"/>
            <x v="83"/>
            <x v="84"/>
          </reference>
          <reference field="9" count="1" selected="0">
            <x v="55"/>
          </reference>
          <reference field="14" count="1" selected="0">
            <x v="21"/>
          </reference>
        </references>
      </pivotArea>
    </format>
    <format dxfId="76">
      <pivotArea dataOnly="0" labelOnly="1" fieldPosition="0">
        <references count="5">
          <reference field="4" count="1" selected="0">
            <x v="37"/>
          </reference>
          <reference field="5" count="1" selected="0">
            <x v="38"/>
          </reference>
          <reference field="8" count="3">
            <x v="88"/>
            <x v="89"/>
            <x v="90"/>
          </reference>
          <reference field="9" count="1" selected="0">
            <x v="25"/>
          </reference>
          <reference field="14" count="1" selected="0">
            <x v="21"/>
          </reference>
        </references>
      </pivotArea>
    </format>
    <format dxfId="75">
      <pivotArea dataOnly="0" labelOnly="1" fieldPosition="0">
        <references count="5">
          <reference field="4" count="1" selected="0">
            <x v="0"/>
          </reference>
          <reference field="5" count="1" selected="0">
            <x v="63"/>
          </reference>
          <reference field="8" count="1">
            <x v="22"/>
          </reference>
          <reference field="9" count="1" selected="0">
            <x v="0"/>
          </reference>
          <reference field="14" count="1" selected="0">
            <x v="22"/>
          </reference>
        </references>
      </pivotArea>
    </format>
    <format dxfId="74">
      <pivotArea dataOnly="0" labelOnly="1" fieldPosition="0">
        <references count="5">
          <reference field="4" count="1" selected="0">
            <x v="0"/>
          </reference>
          <reference field="5" count="1" selected="0">
            <x v="63"/>
          </reference>
          <reference field="8" count="1">
            <x v="87"/>
          </reference>
          <reference field="9" count="1" selected="0">
            <x v="6"/>
          </reference>
          <reference field="14" count="1" selected="0">
            <x v="22"/>
          </reference>
        </references>
      </pivotArea>
    </format>
    <format dxfId="73">
      <pivotArea dataOnly="0" labelOnly="1" fieldPosition="0">
        <references count="5">
          <reference field="4" count="1" selected="0">
            <x v="3"/>
          </reference>
          <reference field="5" count="1" selected="0">
            <x v="69"/>
          </reference>
          <reference field="8" count="1">
            <x v="58"/>
          </reference>
          <reference field="9" count="1" selected="0">
            <x v="41"/>
          </reference>
          <reference field="14" count="1" selected="0">
            <x v="22"/>
          </reference>
        </references>
      </pivotArea>
    </format>
    <format dxfId="72">
      <pivotArea dataOnly="0" labelOnly="1" fieldPosition="0">
        <references count="5">
          <reference field="4" count="1" selected="0">
            <x v="3"/>
          </reference>
          <reference field="5" count="1" selected="0">
            <x v="69"/>
          </reference>
          <reference field="8" count="1">
            <x v="59"/>
          </reference>
          <reference field="9" count="1" selected="0">
            <x v="42"/>
          </reference>
          <reference field="14" count="1" selected="0">
            <x v="22"/>
          </reference>
        </references>
      </pivotArea>
    </format>
    <format dxfId="71">
      <pivotArea dataOnly="0" labelOnly="1" fieldPosition="0">
        <references count="5">
          <reference field="4" count="1" selected="0">
            <x v="18"/>
          </reference>
          <reference field="5" count="1" selected="0">
            <x v="22"/>
          </reference>
          <reference field="8" count="1">
            <x v="22"/>
          </reference>
          <reference field="9" count="1" selected="0">
            <x v="0"/>
          </reference>
          <reference field="14" count="1" selected="0">
            <x v="22"/>
          </reference>
        </references>
      </pivotArea>
    </format>
    <format dxfId="70">
      <pivotArea dataOnly="0" labelOnly="1" fieldPosition="0">
        <references count="5">
          <reference field="4" count="1" selected="0">
            <x v="21"/>
          </reference>
          <reference field="5" count="1" selected="0">
            <x v="25"/>
          </reference>
          <reference field="8" count="1">
            <x v="87"/>
          </reference>
          <reference field="9" count="1" selected="0">
            <x v="6"/>
          </reference>
          <reference field="14" count="1" selected="0">
            <x v="22"/>
          </reference>
        </references>
      </pivotArea>
    </format>
    <format dxfId="69">
      <pivotArea dataOnly="0" labelOnly="1" fieldPosition="0">
        <references count="5">
          <reference field="4" count="1" selected="0">
            <x v="30"/>
          </reference>
          <reference field="5" count="1" selected="0">
            <x v="17"/>
          </reference>
          <reference field="8" count="1">
            <x v="81"/>
          </reference>
          <reference field="9" count="1" selected="0">
            <x v="54"/>
          </reference>
          <reference field="14" count="1" selected="0">
            <x v="22"/>
          </reference>
        </references>
      </pivotArea>
    </format>
    <format dxfId="68">
      <pivotArea dataOnly="0" labelOnly="1" fieldPosition="0">
        <references count="5">
          <reference field="4" count="1" selected="0">
            <x v="38"/>
          </reference>
          <reference field="5" count="1" selected="0">
            <x v="32"/>
          </reference>
          <reference field="8" count="1">
            <x v="2"/>
          </reference>
          <reference field="9" count="1" selected="0">
            <x v="16"/>
          </reference>
          <reference field="14" count="1" selected="0">
            <x v="22"/>
          </reference>
        </references>
      </pivotArea>
    </format>
    <format dxfId="67">
      <pivotArea dataOnly="0" labelOnly="1" fieldPosition="0">
        <references count="5">
          <reference field="4" count="1" selected="0">
            <x v="39"/>
          </reference>
          <reference field="5" count="1" selected="0">
            <x v="32"/>
          </reference>
          <reference field="8" count="1">
            <x v="4"/>
          </reference>
          <reference field="9" count="1" selected="0">
            <x v="16"/>
          </reference>
          <reference field="14" count="1" selected="0">
            <x v="22"/>
          </reference>
        </references>
      </pivotArea>
    </format>
    <format dxfId="66">
      <pivotArea dataOnly="0" labelOnly="1" fieldPosition="0">
        <references count="5">
          <reference field="4" count="1" selected="0">
            <x v="40"/>
          </reference>
          <reference field="5" count="1" selected="0">
            <x v="35"/>
          </reference>
          <reference field="8" count="1">
            <x v="16"/>
          </reference>
          <reference field="9" count="1" selected="0">
            <x v="22"/>
          </reference>
          <reference field="14" count="1" selected="0">
            <x v="22"/>
          </reference>
        </references>
      </pivotArea>
    </format>
    <format dxfId="65">
      <pivotArea dataOnly="0" labelOnly="1" fieldPosition="0">
        <references count="5">
          <reference field="4" count="1" selected="0">
            <x v="48"/>
          </reference>
          <reference field="5" count="1" selected="0">
            <x v="33"/>
          </reference>
          <reference field="8" count="1">
            <x v="85"/>
          </reference>
          <reference field="9" count="1" selected="0">
            <x v="17"/>
          </reference>
          <reference field="14" count="1" selected="0">
            <x v="22"/>
          </reference>
        </references>
      </pivotArea>
    </format>
    <format dxfId="64">
      <pivotArea dataOnly="0" labelOnly="1" fieldPosition="0">
        <references count="5">
          <reference field="4" count="1" selected="0">
            <x v="49"/>
          </reference>
          <reference field="5" count="1" selected="0">
            <x v="36"/>
          </reference>
          <reference field="8" count="1">
            <x v="86"/>
          </reference>
          <reference field="9" count="1" selected="0">
            <x v="23"/>
          </reference>
          <reference field="14" count="1" selected="0">
            <x v="22"/>
          </reference>
        </references>
      </pivotArea>
    </format>
    <format dxfId="63">
      <pivotArea dataOnly="0" labelOnly="1" fieldPosition="0">
        <references count="5">
          <reference field="4" count="1" selected="0">
            <x v="52"/>
          </reference>
          <reference field="5" count="1" selected="0">
            <x v="34"/>
          </reference>
          <reference field="8" count="1">
            <x v="73"/>
          </reference>
          <reference field="9" count="1" selected="0">
            <x v="21"/>
          </reference>
          <reference field="14" count="1" selected="0">
            <x v="22"/>
          </reference>
        </references>
      </pivotArea>
    </format>
    <format dxfId="62">
      <pivotArea dataOnly="0" labelOnly="1" fieldPosition="0">
        <references count="5">
          <reference field="4" count="1" selected="0">
            <x v="53"/>
          </reference>
          <reference field="5" count="1" selected="0">
            <x v="37"/>
          </reference>
          <reference field="8" count="1">
            <x v="74"/>
          </reference>
          <reference field="9" count="1" selected="0">
            <x v="24"/>
          </reference>
          <reference field="14" count="1" selected="0">
            <x v="22"/>
          </reference>
        </references>
      </pivotArea>
    </format>
    <format dxfId="61">
      <pivotArea dataOnly="0" labelOnly="1" fieldPosition="0">
        <references count="5">
          <reference field="4" count="1" selected="0">
            <x v="55"/>
          </reference>
          <reference field="5" count="1" selected="0">
            <x v="14"/>
          </reference>
          <reference field="8" count="2">
            <x v="41"/>
            <x v="42"/>
          </reference>
          <reference field="9" count="1" selected="0">
            <x v="11"/>
          </reference>
          <reference field="14" count="1" selected="0">
            <x v="22"/>
          </reference>
        </references>
      </pivotArea>
    </format>
    <format dxfId="60">
      <pivotArea dataOnly="0" labelOnly="1" fieldPosition="0">
        <references count="5">
          <reference field="4" count="1" selected="0">
            <x v="56"/>
          </reference>
          <reference field="5" count="1" selected="0">
            <x v="15"/>
          </reference>
          <reference field="8" count="2">
            <x v="9"/>
            <x v="10"/>
          </reference>
          <reference field="9" count="1" selected="0">
            <x v="14"/>
          </reference>
          <reference field="14" count="1" selected="0">
            <x v="22"/>
          </reference>
        </references>
      </pivotArea>
    </format>
    <format dxfId="59">
      <pivotArea dataOnly="0" labelOnly="1" fieldPosition="0">
        <references count="5">
          <reference field="4" count="1" selected="0">
            <x v="57"/>
          </reference>
          <reference field="5" count="1" selected="0">
            <x v="16"/>
          </reference>
          <reference field="8" count="1">
            <x v="85"/>
          </reference>
          <reference field="9" count="1" selected="0">
            <x v="17"/>
          </reference>
          <reference field="14" count="1" selected="0">
            <x v="22"/>
          </reference>
        </references>
      </pivotArea>
    </format>
    <format dxfId="58">
      <pivotArea dataOnly="0" labelOnly="1" outline="0" axis="axisValues" fieldPosition="0"/>
    </format>
    <format dxfId="57">
      <pivotArea dataOnly="0" labelOnly="1" fieldPosition="0">
        <references count="1">
          <reference field="14" count="1">
            <x v="13"/>
          </reference>
        </references>
      </pivotArea>
    </format>
    <format dxfId="56">
      <pivotArea dataOnly="0" labelOnly="1" fieldPosition="0">
        <references count="1">
          <reference field="14" count="1" defaultSubtotal="1">
            <x v="13"/>
          </reference>
        </references>
      </pivotArea>
    </format>
    <format dxfId="55">
      <pivotArea dataOnly="0" labelOnly="1" fieldPosition="0">
        <references count="1">
          <reference field="14" count="1">
            <x v="14"/>
          </reference>
        </references>
      </pivotArea>
    </format>
    <format dxfId="54">
      <pivotArea dataOnly="0" labelOnly="1" fieldPosition="0">
        <references count="1">
          <reference field="14" count="1" defaultSubtotal="1">
            <x v="14"/>
          </reference>
        </references>
      </pivotArea>
    </format>
    <format dxfId="53">
      <pivotArea dataOnly="0" labelOnly="1" fieldPosition="0">
        <references count="1">
          <reference field="14" count="1">
            <x v="15"/>
          </reference>
        </references>
      </pivotArea>
    </format>
    <format dxfId="52">
      <pivotArea dataOnly="0" labelOnly="1" fieldPosition="0">
        <references count="1">
          <reference field="14" count="1" defaultSubtotal="1">
            <x v="15"/>
          </reference>
        </references>
      </pivotArea>
    </format>
    <format dxfId="51">
      <pivotArea dataOnly="0" labelOnly="1" fieldPosition="0">
        <references count="1">
          <reference field="14" count="1">
            <x v="18"/>
          </reference>
        </references>
      </pivotArea>
    </format>
    <format dxfId="50">
      <pivotArea dataOnly="0" labelOnly="1" fieldPosition="0">
        <references count="1">
          <reference field="14" count="1" defaultSubtotal="1">
            <x v="18"/>
          </reference>
        </references>
      </pivotArea>
    </format>
    <format dxfId="49">
      <pivotArea dataOnly="0" labelOnly="1" fieldPosition="0">
        <references count="1">
          <reference field="14" count="1">
            <x v="19"/>
          </reference>
        </references>
      </pivotArea>
    </format>
    <format dxfId="48">
      <pivotArea dataOnly="0" labelOnly="1" fieldPosition="0">
        <references count="1">
          <reference field="14" count="1" defaultSubtotal="1">
            <x v="19"/>
          </reference>
        </references>
      </pivotArea>
    </format>
    <format dxfId="47">
      <pivotArea dataOnly="0" labelOnly="1" fieldPosition="0">
        <references count="1">
          <reference field="14" count="1"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F9513-A63D-461E-BBBA-21425E586D0D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ESTINO">
  <location ref="A3:AD10" firstHeaderRow="1" firstDataRow="2" firstDataCol="2" rowPageCount="1" colPageCount="1"/>
  <pivotFields count="21">
    <pivotField showAll="0"/>
    <pivotField numFmtId="14" showAll="0"/>
    <pivotField showAll="0"/>
    <pivotField axis="axisRow" outline="0" showAll="0" defaultSubtotal="0">
      <items count="4">
        <item x="0"/>
        <item x="2"/>
        <item x="1"/>
        <item h="1" x="3"/>
      </items>
    </pivotField>
    <pivotField showAll="0"/>
    <pivotField showAll="0"/>
    <pivotField axis="axisRow" outline="0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dataField="1" showAll="0"/>
    <pivotField showAll="0" defaultSubtotal="0"/>
    <pivotField numFmtId="169" showAll="0"/>
    <pivotField showAll="0"/>
    <pivotField axis="axisCol" showAll="0" sortType="ascending">
      <items count="39">
        <item x="2"/>
        <item x="15"/>
        <item x="16"/>
        <item x="9"/>
        <item x="1"/>
        <item x="0"/>
        <item x="6"/>
        <item x="12"/>
        <item x="8"/>
        <item x="4"/>
        <item x="10"/>
        <item x="17"/>
        <item x="5"/>
        <item x="20"/>
        <item x="19"/>
        <item x="7"/>
        <item x="24"/>
        <item m="1" x="34"/>
        <item m="1" x="36"/>
        <item x="11"/>
        <item m="1" x="35"/>
        <item x="21"/>
        <item m="1" x="33"/>
        <item m="1" x="29"/>
        <item m="1" x="37"/>
        <item x="18"/>
        <item m="1" x="32"/>
        <item x="14"/>
        <item m="1" x="31"/>
        <item x="25"/>
        <item x="22"/>
        <item x="13"/>
        <item m="1" x="27"/>
        <item x="26"/>
        <item m="1" x="28"/>
        <item m="1" x="30"/>
        <item x="23"/>
        <item x="3"/>
        <item t="default"/>
      </items>
    </pivotField>
    <pivotField axis="axisPage" multipleItemSelectionAllowed="1" showAll="0">
      <items count="7">
        <item x="3"/>
        <item x="0"/>
        <item x="1"/>
        <item x="2"/>
        <item m="1" x="5"/>
        <item x="4"/>
        <item t="default"/>
      </items>
    </pivotField>
    <pivotField showAll="0"/>
    <pivotField showAll="0"/>
    <pivotField showAll="0"/>
    <pivotField showAll="0"/>
  </pivotFields>
  <rowFields count="2">
    <field x="3"/>
    <field x="6"/>
  </rowFields>
  <rowItems count="6">
    <i>
      <x/>
      <x/>
    </i>
    <i r="1">
      <x v="1"/>
    </i>
    <i>
      <x v="1"/>
      <x v="1"/>
    </i>
    <i>
      <x v="2"/>
      <x/>
    </i>
    <i r="1">
      <x v="1"/>
    </i>
    <i t="grand">
      <x/>
    </i>
  </rowItems>
  <colFields count="1">
    <field x="15"/>
  </colFields>
  <col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9"/>
    </i>
    <i>
      <x v="21"/>
    </i>
    <i>
      <x v="25"/>
    </i>
    <i>
      <x v="27"/>
    </i>
    <i>
      <x v="29"/>
    </i>
    <i>
      <x v="30"/>
    </i>
    <i>
      <x v="31"/>
    </i>
    <i>
      <x v="33"/>
    </i>
    <i>
      <x v="36"/>
    </i>
    <i>
      <x v="37"/>
    </i>
    <i t="grand">
      <x/>
    </i>
  </colItems>
  <pageFields count="1">
    <pageField fld="16" hier="-1"/>
  </pageFields>
  <dataFields count="1">
    <dataField name="Soma de SOLICITADO" fld="11" baseField="0" baseItem="0" numFmtId="3"/>
  </dataFields>
  <formats count="11">
    <format dxfId="46">
      <pivotArea outline="0" collapsedLevelsAreSubtotals="1" fieldPosition="0"/>
    </format>
    <format dxfId="45">
      <pivotArea field="3" type="button" dataOnly="0" labelOnly="1" outline="0" axis="axisRow" fieldPosition="0"/>
    </format>
    <format dxfId="44">
      <pivotArea field="6" type="button" dataOnly="0" labelOnly="1" outline="0" axis="axisRow" fieldPosition="1"/>
    </format>
    <format dxfId="43">
      <pivotArea dataOnly="0" labelOnly="1" fieldPosition="0">
        <references count="1">
          <reference field="3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3" count="1" selected="0">
            <x v="0"/>
          </reference>
          <reference field="6" count="0"/>
        </references>
      </pivotArea>
    </format>
    <format dxfId="40">
      <pivotArea dataOnly="0" labelOnly="1" fieldPosition="0">
        <references count="2">
          <reference field="3" count="1" selected="0">
            <x v="1"/>
          </reference>
          <reference field="6" count="1">
            <x v="1"/>
          </reference>
        </references>
      </pivotArea>
    </format>
    <format dxfId="39">
      <pivotArea dataOnly="0" labelOnly="1" fieldPosition="0">
        <references count="2">
          <reference field="3" count="1" selected="0">
            <x v="2"/>
          </reference>
          <reference field="6" count="2">
            <x v="0"/>
            <x v="1"/>
          </reference>
        </references>
      </pivotArea>
    </format>
    <format dxfId="38">
      <pivotArea dataOnly="0" labelOnly="1" fieldPosition="0">
        <references count="1">
          <reference field="15" count="0"/>
        </references>
      </pivotArea>
    </format>
    <format dxfId="37">
      <pivotArea dataOnly="0" labelOnly="1" grandCol="1" outline="0" fieldPosition="0"/>
    </format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D9C264-3355-4B9A-98DA-44F8794CC6D8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OLICITAÇÃO">
  <location ref="A3:F20" firstHeaderRow="0" firstDataRow="1" firstDataCol="3"/>
  <pivotFields count="21">
    <pivotField axis="axisRow" outline="0" showAll="0" defaultSubtota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howAll="0"/>
    <pivotField axis="axisRow" outline="0" showAll="0" defaultSubtotal="0">
      <items count="10">
        <item x="7"/>
        <item x="5"/>
        <item x="4"/>
        <item x="6"/>
        <item x="2"/>
        <item x="3"/>
        <item x="1"/>
        <item x="0"/>
        <item x="8"/>
        <item x="9"/>
      </items>
    </pivotField>
    <pivotField axis="axisRow" outline="0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2"/>
    <field x="3"/>
  </rowFields>
  <rowItems count="17">
    <i>
      <x/>
      <x v="7"/>
      <x/>
    </i>
    <i>
      <x v="1"/>
      <x v="6"/>
      <x/>
    </i>
    <i>
      <x v="2"/>
      <x v="7"/>
      <x/>
    </i>
    <i>
      <x v="3"/>
      <x v="4"/>
      <x v="2"/>
    </i>
    <i>
      <x v="4"/>
      <x v="5"/>
      <x v="1"/>
    </i>
    <i>
      <x v="5"/>
      <x v="2"/>
      <x/>
    </i>
    <i>
      <x v="6"/>
      <x v="4"/>
      <x v="2"/>
    </i>
    <i>
      <x v="7"/>
      <x v="1"/>
      <x v="2"/>
    </i>
    <i>
      <x v="8"/>
      <x v="7"/>
      <x/>
    </i>
    <i>
      <x v="9"/>
      <x v="3"/>
      <x v="2"/>
    </i>
    <i>
      <x v="10"/>
      <x v="1"/>
      <x v="2"/>
    </i>
    <i>
      <x v="11"/>
      <x v="7"/>
      <x/>
    </i>
    <i>
      <x v="12"/>
      <x/>
      <x/>
    </i>
    <i>
      <x v="13"/>
      <x/>
      <x/>
    </i>
    <i>
      <x v="14"/>
      <x v="8"/>
      <x/>
    </i>
    <i>
      <x v="15"/>
      <x v="9"/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LICITADO." fld="11" baseField="0" baseItem="0"/>
    <dataField name="ENVIADO." fld="12" baseField="0" baseItem="0"/>
    <dataField name="PENDENTE." fld="13" baseField="0" baseItem="0" numFmtId="169"/>
  </dataFields>
  <formats count="26">
    <format dxfId="35">
      <pivotArea outline="0" collapsedLevelsAreSubtotals="1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outline="0" collapsedLevelsAreSubtotals="1" fieldPosition="0"/>
    </format>
    <format dxfId="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0"/>
    </format>
    <format dxfId="28">
      <pivotArea field="3" type="button" dataOnly="0" labelOnly="1" outline="0" axis="axisRow" fieldPosition="2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dataOnly="0" labelOnly="1" fieldPosition="0">
        <references count="2">
          <reference field="0" count="1" selected="0">
            <x v="0"/>
          </reference>
          <reference field="3" count="1">
            <x v="0"/>
          </reference>
        </references>
      </pivotArea>
    </format>
    <format dxfId="24">
      <pivotArea dataOnly="0" labelOnly="1" fieldPosition="0">
        <references count="2">
          <reference field="0" count="1" selected="0">
            <x v="1"/>
          </reference>
          <reference field="3" count="1">
            <x v="0"/>
          </reference>
        </references>
      </pivotArea>
    </format>
    <format dxfId="23">
      <pivotArea dataOnly="0" labelOnly="1" fieldPosition="0">
        <references count="2">
          <reference field="0" count="1" selected="0">
            <x v="2"/>
          </reference>
          <reference field="3" count="1">
            <x v="0"/>
          </reference>
        </references>
      </pivotArea>
    </format>
    <format dxfId="22">
      <pivotArea dataOnly="0" labelOnly="1" fieldPosition="0">
        <references count="2">
          <reference field="0" count="1" selected="0">
            <x v="3"/>
          </reference>
          <reference field="3" count="1">
            <x v="2"/>
          </reference>
        </references>
      </pivotArea>
    </format>
    <format dxfId="21">
      <pivotArea dataOnly="0" labelOnly="1" fieldPosition="0">
        <references count="2">
          <reference field="0" count="1" selected="0">
            <x v="4"/>
          </reference>
          <reference field="3" count="1">
            <x v="1"/>
          </reference>
        </references>
      </pivotArea>
    </format>
    <format dxfId="20">
      <pivotArea dataOnly="0" labelOnly="1" fieldPosition="0">
        <references count="2">
          <reference field="0" count="1" selected="0">
            <x v="5"/>
          </reference>
          <reference field="3" count="1">
            <x v="0"/>
          </reference>
        </references>
      </pivotArea>
    </format>
    <format dxfId="19">
      <pivotArea dataOnly="0" labelOnly="1" fieldPosition="0">
        <references count="2">
          <reference field="0" count="1" selected="0">
            <x v="6"/>
          </reference>
          <reference field="3" count="1">
            <x v="2"/>
          </reference>
        </references>
      </pivotArea>
    </format>
    <format dxfId="18">
      <pivotArea dataOnly="0" labelOnly="1" fieldPosition="0">
        <references count="2">
          <reference field="0" count="1" selected="0">
            <x v="7"/>
          </reference>
          <reference field="3" count="1">
            <x v="2"/>
          </reference>
        </references>
      </pivotArea>
    </format>
    <format dxfId="17">
      <pivotArea dataOnly="0" labelOnly="1" fieldPosition="0">
        <references count="2">
          <reference field="0" count="1" selected="0">
            <x v="8"/>
          </reference>
          <reference field="3" count="1">
            <x v="0"/>
          </reference>
        </references>
      </pivotArea>
    </format>
    <format dxfId="16">
      <pivotArea dataOnly="0" labelOnly="1" fieldPosition="0">
        <references count="2">
          <reference field="0" count="1" selected="0">
            <x v="9"/>
          </reference>
          <reference field="3" count="1">
            <x v="2"/>
          </reference>
        </references>
      </pivotArea>
    </format>
    <format dxfId="15">
      <pivotArea dataOnly="0" labelOnly="1" fieldPosition="0">
        <references count="2">
          <reference field="0" count="1" selected="0">
            <x v="10"/>
          </reference>
          <reference field="3" count="1">
            <x v="2"/>
          </reference>
        </references>
      </pivotArea>
    </format>
    <format dxfId="14">
      <pivotArea dataOnly="0" labelOnly="1" fieldPosition="0">
        <references count="2">
          <reference field="0" count="1" selected="0">
            <x v="11"/>
          </reference>
          <reference field="3" count="1">
            <x v="0"/>
          </reference>
        </references>
      </pivotArea>
    </format>
    <format dxfId="13">
      <pivotArea dataOnly="0" labelOnly="1" fieldPosition="0">
        <references count="2">
          <reference field="0" count="1" selected="0">
            <x v="12"/>
          </reference>
          <reference field="3" count="1">
            <x v="0"/>
          </reference>
        </references>
      </pivotArea>
    </format>
    <format dxfId="12">
      <pivotArea dataOnly="0" labelOnly="1" fieldPosition="0">
        <references count="2">
          <reference field="0" count="1" selected="0">
            <x v="13"/>
          </reference>
          <reference field="3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C292-D178-42AF-9098-EAB560B04363}">
  <dimension ref="A1:C136"/>
  <sheetViews>
    <sheetView topLeftCell="A116" workbookViewId="0">
      <selection activeCell="B138" sqref="B138"/>
    </sheetView>
  </sheetViews>
  <sheetFormatPr defaultRowHeight="14.25"/>
  <cols>
    <col min="1" max="1" width="13" customWidth="1"/>
    <col min="2" max="2" width="46.875" bestFit="1" customWidth="1"/>
    <col min="3" max="3" width="41.875" customWidth="1"/>
  </cols>
  <sheetData>
    <row r="1" spans="1:3" ht="20.25">
      <c r="A1" s="17" t="s">
        <v>428</v>
      </c>
      <c r="B1" s="17" t="s">
        <v>427</v>
      </c>
      <c r="C1" s="17" t="s">
        <v>2</v>
      </c>
    </row>
    <row r="2" spans="1:3" ht="15">
      <c r="A2" s="31" t="s">
        <v>41</v>
      </c>
      <c r="B2" s="28" t="s">
        <v>416</v>
      </c>
      <c r="C2" s="28" t="s">
        <v>421</v>
      </c>
    </row>
    <row r="3" spans="1:3" ht="15">
      <c r="A3" s="28" t="s">
        <v>96</v>
      </c>
      <c r="B3" s="28" t="s">
        <v>414</v>
      </c>
      <c r="C3" s="28" t="s">
        <v>247</v>
      </c>
    </row>
    <row r="4" spans="1:3" ht="15">
      <c r="A4" s="31" t="s">
        <v>97</v>
      </c>
      <c r="B4" s="28" t="s">
        <v>414</v>
      </c>
      <c r="C4" s="28" t="s">
        <v>247</v>
      </c>
    </row>
    <row r="5" spans="1:3" ht="15">
      <c r="A5" s="29" t="s">
        <v>42</v>
      </c>
      <c r="B5" s="28" t="s">
        <v>414</v>
      </c>
      <c r="C5" s="28" t="s">
        <v>247</v>
      </c>
    </row>
    <row r="6" spans="1:3" ht="15">
      <c r="A6" s="29" t="s">
        <v>43</v>
      </c>
      <c r="B6" s="28" t="s">
        <v>414</v>
      </c>
      <c r="C6" s="28" t="s">
        <v>247</v>
      </c>
    </row>
    <row r="7" spans="1:3" ht="15">
      <c r="A7" s="31" t="s">
        <v>98</v>
      </c>
      <c r="B7" s="28" t="s">
        <v>419</v>
      </c>
      <c r="C7" s="28" t="s">
        <v>431</v>
      </c>
    </row>
    <row r="8" spans="1:3" ht="15">
      <c r="A8" s="31" t="s">
        <v>44</v>
      </c>
      <c r="B8" s="28" t="s">
        <v>290</v>
      </c>
      <c r="C8" s="28" t="s">
        <v>248</v>
      </c>
    </row>
    <row r="9" spans="1:3" ht="15">
      <c r="A9" s="31" t="s">
        <v>45</v>
      </c>
      <c r="B9" s="28" t="s">
        <v>415</v>
      </c>
      <c r="C9" s="28" t="s">
        <v>248</v>
      </c>
    </row>
    <row r="10" spans="1:3" ht="15">
      <c r="A10" s="27" t="s">
        <v>46</v>
      </c>
      <c r="B10" s="28" t="s">
        <v>413</v>
      </c>
      <c r="C10" s="28" t="s">
        <v>246</v>
      </c>
    </row>
    <row r="11" spans="1:3" ht="15">
      <c r="A11" s="31" t="s">
        <v>47</v>
      </c>
      <c r="B11" s="28" t="s">
        <v>413</v>
      </c>
      <c r="C11" s="28" t="s">
        <v>246</v>
      </c>
    </row>
    <row r="12" spans="1:3" ht="15">
      <c r="A12" s="28" t="s">
        <v>48</v>
      </c>
      <c r="B12" s="28" t="s">
        <v>413</v>
      </c>
      <c r="C12" s="28" t="s">
        <v>246</v>
      </c>
    </row>
    <row r="13" spans="1:3" ht="15">
      <c r="A13" s="29" t="s">
        <v>226</v>
      </c>
      <c r="B13" s="28" t="s">
        <v>227</v>
      </c>
      <c r="C13" s="28" t="s">
        <v>263</v>
      </c>
    </row>
    <row r="14" spans="1:3" ht="15">
      <c r="A14" s="29" t="s">
        <v>160</v>
      </c>
      <c r="B14" s="28" t="s">
        <v>228</v>
      </c>
      <c r="C14" s="28" t="s">
        <v>264</v>
      </c>
    </row>
    <row r="15" spans="1:3" ht="15">
      <c r="A15" s="31" t="s">
        <v>27</v>
      </c>
      <c r="B15" s="28" t="s">
        <v>291</v>
      </c>
      <c r="C15" s="28" t="s">
        <v>249</v>
      </c>
    </row>
    <row r="16" spans="1:3" ht="15">
      <c r="A16" s="31" t="s">
        <v>49</v>
      </c>
      <c r="B16" s="28" t="s">
        <v>291</v>
      </c>
      <c r="C16" s="28" t="s">
        <v>249</v>
      </c>
    </row>
    <row r="17" spans="1:3" ht="15">
      <c r="A17" s="31" t="s">
        <v>99</v>
      </c>
      <c r="B17" s="28" t="s">
        <v>291</v>
      </c>
      <c r="C17" s="28" t="s">
        <v>249</v>
      </c>
    </row>
    <row r="18" spans="1:3" ht="15">
      <c r="A18" s="28" t="s">
        <v>50</v>
      </c>
      <c r="B18" s="28" t="s">
        <v>291</v>
      </c>
      <c r="C18" s="28" t="s">
        <v>249</v>
      </c>
    </row>
    <row r="19" spans="1:3" ht="15">
      <c r="A19" s="31" t="s">
        <v>51</v>
      </c>
      <c r="B19" s="28" t="s">
        <v>418</v>
      </c>
      <c r="C19" s="28" t="s">
        <v>431</v>
      </c>
    </row>
    <row r="20" spans="1:3" ht="15">
      <c r="A20" s="28" t="s">
        <v>52</v>
      </c>
      <c r="B20" s="28" t="s">
        <v>53</v>
      </c>
      <c r="C20" s="28" t="s">
        <v>214</v>
      </c>
    </row>
    <row r="21" spans="1:3" ht="15">
      <c r="A21" s="31" t="s">
        <v>100</v>
      </c>
      <c r="B21" s="28" t="s">
        <v>109</v>
      </c>
      <c r="C21" s="28" t="s">
        <v>431</v>
      </c>
    </row>
    <row r="22" spans="1:3" ht="15">
      <c r="A22" s="31" t="s">
        <v>54</v>
      </c>
      <c r="B22" s="28" t="s">
        <v>55</v>
      </c>
      <c r="C22" s="28" t="s">
        <v>431</v>
      </c>
    </row>
    <row r="23" spans="1:3" ht="15">
      <c r="A23" s="28" t="s">
        <v>24</v>
      </c>
      <c r="B23" s="28" t="s">
        <v>56</v>
      </c>
      <c r="C23" s="28" t="s">
        <v>342</v>
      </c>
    </row>
    <row r="24" spans="1:3" ht="15">
      <c r="A24" s="31" t="s">
        <v>136</v>
      </c>
      <c r="B24" s="28" t="s">
        <v>132</v>
      </c>
      <c r="C24" s="28" t="s">
        <v>425</v>
      </c>
    </row>
    <row r="25" spans="1:3" ht="15">
      <c r="A25" s="31" t="s">
        <v>57</v>
      </c>
      <c r="B25" s="28" t="s">
        <v>58</v>
      </c>
      <c r="C25" s="28" t="s">
        <v>218</v>
      </c>
    </row>
    <row r="26" spans="1:3" ht="15">
      <c r="A26" s="29" t="s">
        <v>10</v>
      </c>
      <c r="B26" s="28" t="s">
        <v>59</v>
      </c>
      <c r="C26" s="28" t="s">
        <v>218</v>
      </c>
    </row>
    <row r="27" spans="1:3" ht="15">
      <c r="A27" s="29" t="s">
        <v>137</v>
      </c>
      <c r="B27" s="28" t="s">
        <v>133</v>
      </c>
      <c r="C27" s="28" t="s">
        <v>265</v>
      </c>
    </row>
    <row r="28" spans="1:3" ht="15">
      <c r="A28" s="28" t="s">
        <v>138</v>
      </c>
      <c r="B28" s="28" t="s">
        <v>134</v>
      </c>
      <c r="C28" s="28" t="s">
        <v>426</v>
      </c>
    </row>
    <row r="29" spans="1:3" ht="15">
      <c r="A29" s="29" t="s">
        <v>139</v>
      </c>
      <c r="B29" s="28" t="s">
        <v>134</v>
      </c>
      <c r="C29" s="28" t="s">
        <v>426</v>
      </c>
    </row>
    <row r="30" spans="1:3" ht="15">
      <c r="A30" s="31" t="s">
        <v>60</v>
      </c>
      <c r="B30" s="27" t="s">
        <v>61</v>
      </c>
      <c r="C30" s="28" t="s">
        <v>262</v>
      </c>
    </row>
    <row r="31" spans="1:3" ht="15">
      <c r="A31" s="29" t="s">
        <v>13</v>
      </c>
      <c r="B31" s="28" t="s">
        <v>62</v>
      </c>
      <c r="C31" s="28" t="s">
        <v>262</v>
      </c>
    </row>
    <row r="32" spans="1:3" ht="15">
      <c r="A32" s="29" t="s">
        <v>207</v>
      </c>
      <c r="B32" s="28" t="s">
        <v>220</v>
      </c>
      <c r="C32" s="28" t="s">
        <v>266</v>
      </c>
    </row>
    <row r="33" spans="1:3" ht="15">
      <c r="A33" s="28" t="s">
        <v>101</v>
      </c>
      <c r="B33" s="28" t="s">
        <v>64</v>
      </c>
      <c r="C33" s="28" t="s">
        <v>343</v>
      </c>
    </row>
    <row r="34" spans="1:3" ht="15">
      <c r="A34" s="28" t="s">
        <v>63</v>
      </c>
      <c r="B34" s="28" t="s">
        <v>64</v>
      </c>
      <c r="C34" s="28" t="s">
        <v>343</v>
      </c>
    </row>
    <row r="35" spans="1:3" ht="15">
      <c r="A35" s="28" t="s">
        <v>65</v>
      </c>
      <c r="B35" s="28" t="s">
        <v>64</v>
      </c>
      <c r="C35" s="28" t="s">
        <v>343</v>
      </c>
    </row>
    <row r="36" spans="1:3" ht="15">
      <c r="A36" s="28" t="s">
        <v>66</v>
      </c>
      <c r="B36" s="28" t="s">
        <v>67</v>
      </c>
      <c r="C36" s="28" t="s">
        <v>345</v>
      </c>
    </row>
    <row r="37" spans="1:3" ht="15">
      <c r="A37" s="31" t="s">
        <v>234</v>
      </c>
      <c r="B37" s="28" t="s">
        <v>67</v>
      </c>
      <c r="C37" s="28" t="s">
        <v>345</v>
      </c>
    </row>
    <row r="38" spans="1:3" ht="15">
      <c r="A38" s="28" t="s">
        <v>102</v>
      </c>
      <c r="B38" s="28" t="s">
        <v>110</v>
      </c>
      <c r="C38" s="28" t="s">
        <v>409</v>
      </c>
    </row>
    <row r="39" spans="1:3" ht="15">
      <c r="A39" s="28" t="s">
        <v>103</v>
      </c>
      <c r="B39" s="28" t="s">
        <v>110</v>
      </c>
      <c r="C39" s="28" t="s">
        <v>409</v>
      </c>
    </row>
    <row r="40" spans="1:3" ht="15">
      <c r="A40" s="31" t="s">
        <v>104</v>
      </c>
      <c r="B40" s="28" t="s">
        <v>69</v>
      </c>
      <c r="C40" s="28" t="s">
        <v>420</v>
      </c>
    </row>
    <row r="41" spans="1:3" ht="15">
      <c r="A41" s="31" t="s">
        <v>68</v>
      </c>
      <c r="B41" s="28" t="s">
        <v>69</v>
      </c>
      <c r="C41" s="28" t="s">
        <v>420</v>
      </c>
    </row>
    <row r="42" spans="1:3" ht="15">
      <c r="A42" s="28" t="s">
        <v>70</v>
      </c>
      <c r="B42" s="28" t="s">
        <v>434</v>
      </c>
      <c r="C42" s="28" t="s">
        <v>340</v>
      </c>
    </row>
    <row r="43" spans="1:3" ht="15">
      <c r="A43" s="28" t="s">
        <v>25</v>
      </c>
      <c r="B43" s="28" t="s">
        <v>434</v>
      </c>
      <c r="C43" s="28" t="s">
        <v>340</v>
      </c>
    </row>
    <row r="44" spans="1:3" ht="15">
      <c r="A44" s="28" t="s">
        <v>26</v>
      </c>
      <c r="B44" s="28" t="s">
        <v>94</v>
      </c>
      <c r="C44" s="28" t="s">
        <v>432</v>
      </c>
    </row>
    <row r="45" spans="1:3" ht="15">
      <c r="A45" s="29" t="s">
        <v>95</v>
      </c>
      <c r="B45" s="28" t="s">
        <v>94</v>
      </c>
      <c r="C45" s="28" t="s">
        <v>432</v>
      </c>
    </row>
    <row r="46" spans="1:3" ht="15">
      <c r="A46" s="27" t="s">
        <v>105</v>
      </c>
      <c r="B46" s="28" t="s">
        <v>412</v>
      </c>
      <c r="C46" s="28" t="s">
        <v>245</v>
      </c>
    </row>
    <row r="47" spans="1:3" ht="15">
      <c r="A47" s="31" t="s">
        <v>20</v>
      </c>
      <c r="B47" s="28" t="s">
        <v>71</v>
      </c>
      <c r="C47" s="28" t="s">
        <v>353</v>
      </c>
    </row>
    <row r="48" spans="1:3" ht="15">
      <c r="A48" s="31" t="s">
        <v>22</v>
      </c>
      <c r="B48" s="28" t="s">
        <v>293</v>
      </c>
      <c r="C48" s="28" t="s">
        <v>353</v>
      </c>
    </row>
    <row r="49" spans="1:3" ht="15">
      <c r="A49" s="29" t="s">
        <v>72</v>
      </c>
      <c r="B49" s="28" t="s">
        <v>71</v>
      </c>
      <c r="C49" s="28" t="s">
        <v>353</v>
      </c>
    </row>
    <row r="50" spans="1:3" ht="15">
      <c r="A50" s="28" t="s">
        <v>28</v>
      </c>
      <c r="B50" s="28" t="s">
        <v>293</v>
      </c>
      <c r="C50" s="28" t="s">
        <v>353</v>
      </c>
    </row>
    <row r="51" spans="1:3" ht="15">
      <c r="A51" s="31" t="s">
        <v>19</v>
      </c>
      <c r="B51" s="28" t="s">
        <v>294</v>
      </c>
      <c r="C51" s="28" t="s">
        <v>353</v>
      </c>
    </row>
    <row r="52" spans="1:3" ht="15">
      <c r="A52" s="31" t="s">
        <v>73</v>
      </c>
      <c r="B52" s="28" t="s">
        <v>74</v>
      </c>
      <c r="C52" s="28" t="s">
        <v>353</v>
      </c>
    </row>
    <row r="53" spans="1:3" ht="15">
      <c r="A53" s="29" t="s">
        <v>75</v>
      </c>
      <c r="B53" s="28" t="s">
        <v>294</v>
      </c>
      <c r="C53" s="28" t="s">
        <v>353</v>
      </c>
    </row>
    <row r="54" spans="1:3" ht="15">
      <c r="A54" s="29" t="s">
        <v>223</v>
      </c>
      <c r="B54" s="28" t="s">
        <v>74</v>
      </c>
      <c r="C54" s="28" t="s">
        <v>353</v>
      </c>
    </row>
    <row r="55" spans="1:3" ht="15">
      <c r="A55" s="31" t="s">
        <v>18</v>
      </c>
      <c r="B55" s="28" t="s">
        <v>422</v>
      </c>
      <c r="C55" s="28" t="s">
        <v>356</v>
      </c>
    </row>
    <row r="56" spans="1:3" ht="15">
      <c r="A56" s="31" t="s">
        <v>76</v>
      </c>
      <c r="B56" s="28" t="s">
        <v>299</v>
      </c>
      <c r="C56" s="28" t="s">
        <v>356</v>
      </c>
    </row>
    <row r="57" spans="1:3" ht="15">
      <c r="A57" s="29" t="s">
        <v>77</v>
      </c>
      <c r="B57" s="28" t="s">
        <v>422</v>
      </c>
      <c r="C57" s="28" t="s">
        <v>356</v>
      </c>
    </row>
    <row r="58" spans="1:3" ht="15">
      <c r="A58" s="29" t="s">
        <v>78</v>
      </c>
      <c r="B58" s="28" t="s">
        <v>299</v>
      </c>
      <c r="C58" s="28" t="s">
        <v>356</v>
      </c>
    </row>
    <row r="59" spans="1:3" ht="15">
      <c r="A59" s="31" t="s">
        <v>21</v>
      </c>
      <c r="B59" s="28" t="s">
        <v>297</v>
      </c>
      <c r="C59" s="28" t="s">
        <v>356</v>
      </c>
    </row>
    <row r="60" spans="1:3" ht="15">
      <c r="A60" s="31" t="s">
        <v>79</v>
      </c>
      <c r="B60" s="28" t="s">
        <v>298</v>
      </c>
      <c r="C60" s="28" t="s">
        <v>356</v>
      </c>
    </row>
    <row r="61" spans="1:3" ht="15">
      <c r="A61" s="29" t="s">
        <v>80</v>
      </c>
      <c r="B61" s="28" t="s">
        <v>297</v>
      </c>
      <c r="C61" s="28" t="s">
        <v>356</v>
      </c>
    </row>
    <row r="62" spans="1:3" ht="15">
      <c r="A62" s="29" t="s">
        <v>81</v>
      </c>
      <c r="B62" s="28" t="s">
        <v>298</v>
      </c>
      <c r="C62" s="28" t="s">
        <v>356</v>
      </c>
    </row>
    <row r="63" spans="1:3" ht="15">
      <c r="A63" s="29" t="s">
        <v>82</v>
      </c>
      <c r="B63" s="28" t="s">
        <v>83</v>
      </c>
      <c r="C63" s="28" t="s">
        <v>353</v>
      </c>
    </row>
    <row r="64" spans="1:3" ht="15">
      <c r="A64" s="29" t="s">
        <v>222</v>
      </c>
      <c r="B64" s="28" t="s">
        <v>255</v>
      </c>
      <c r="C64" s="28" t="s">
        <v>353</v>
      </c>
    </row>
    <row r="65" spans="1:3" ht="15">
      <c r="A65" s="29" t="s">
        <v>84</v>
      </c>
      <c r="B65" s="28" t="s">
        <v>295</v>
      </c>
      <c r="C65" s="28" t="s">
        <v>356</v>
      </c>
    </row>
    <row r="66" spans="1:3" ht="15">
      <c r="A66" s="29" t="s">
        <v>224</v>
      </c>
      <c r="B66" s="28" t="s">
        <v>296</v>
      </c>
      <c r="C66" s="28" t="s">
        <v>356</v>
      </c>
    </row>
    <row r="67" spans="1:3" ht="15">
      <c r="A67" s="28" t="s">
        <v>140</v>
      </c>
      <c r="B67" s="28" t="s">
        <v>135</v>
      </c>
      <c r="C67" s="28" t="s">
        <v>215</v>
      </c>
    </row>
    <row r="68" spans="1:3" ht="15">
      <c r="A68" s="28" t="s">
        <v>85</v>
      </c>
      <c r="B68" s="28" t="s">
        <v>289</v>
      </c>
      <c r="C68" s="28" t="s">
        <v>429</v>
      </c>
    </row>
    <row r="69" spans="1:3" ht="15">
      <c r="A69" s="31" t="s">
        <v>106</v>
      </c>
      <c r="B69" s="28" t="s">
        <v>111</v>
      </c>
      <c r="C69" s="28" t="s">
        <v>431</v>
      </c>
    </row>
    <row r="70" spans="1:3" ht="15">
      <c r="A70" s="31" t="s">
        <v>107</v>
      </c>
      <c r="B70" s="31" t="s">
        <v>417</v>
      </c>
      <c r="C70" s="28" t="s">
        <v>431</v>
      </c>
    </row>
    <row r="71" spans="1:3" ht="15">
      <c r="A71" s="29" t="s">
        <v>268</v>
      </c>
      <c r="B71" s="28" t="s">
        <v>267</v>
      </c>
      <c r="C71" s="28" t="s">
        <v>252</v>
      </c>
    </row>
    <row r="72" spans="1:3" ht="15">
      <c r="A72" s="29" t="s">
        <v>270</v>
      </c>
      <c r="B72" s="28" t="s">
        <v>269</v>
      </c>
      <c r="C72" s="28" t="s">
        <v>252</v>
      </c>
    </row>
    <row r="73" spans="1:3" ht="15">
      <c r="A73" s="29" t="s">
        <v>271</v>
      </c>
      <c r="B73" s="28" t="s">
        <v>272</v>
      </c>
      <c r="C73" s="28" t="s">
        <v>252</v>
      </c>
    </row>
    <row r="74" spans="1:3" ht="15">
      <c r="A74" s="29" t="s">
        <v>274</v>
      </c>
      <c r="B74" s="28" t="s">
        <v>273</v>
      </c>
      <c r="C74" s="28" t="s">
        <v>252</v>
      </c>
    </row>
    <row r="75" spans="1:3" ht="15">
      <c r="A75" s="29" t="s">
        <v>251</v>
      </c>
      <c r="B75" s="28" t="s">
        <v>250</v>
      </c>
      <c r="C75" s="28" t="s">
        <v>252</v>
      </c>
    </row>
    <row r="76" spans="1:3" ht="15">
      <c r="A76" s="29" t="s">
        <v>372</v>
      </c>
      <c r="B76" s="28" t="s">
        <v>373</v>
      </c>
      <c r="C76" s="28" t="s">
        <v>252</v>
      </c>
    </row>
    <row r="77" spans="1:3" ht="15">
      <c r="A77" s="29" t="s">
        <v>276</v>
      </c>
      <c r="B77" s="28" t="s">
        <v>275</v>
      </c>
      <c r="C77" s="28" t="s">
        <v>252</v>
      </c>
    </row>
    <row r="78" spans="1:3" ht="15">
      <c r="A78" s="29" t="s">
        <v>380</v>
      </c>
      <c r="B78" s="28" t="s">
        <v>381</v>
      </c>
      <c r="C78" s="28" t="s">
        <v>252</v>
      </c>
    </row>
    <row r="79" spans="1:3" ht="15">
      <c r="A79" s="29" t="s">
        <v>386</v>
      </c>
      <c r="B79" s="28" t="s">
        <v>387</v>
      </c>
      <c r="C79" s="28" t="s">
        <v>252</v>
      </c>
    </row>
    <row r="80" spans="1:3" ht="15">
      <c r="A80" s="29" t="s">
        <v>392</v>
      </c>
      <c r="B80" s="28" t="s">
        <v>393</v>
      </c>
      <c r="C80" s="28" t="s">
        <v>252</v>
      </c>
    </row>
    <row r="81" spans="1:3" ht="15">
      <c r="A81" s="29" t="s">
        <v>278</v>
      </c>
      <c r="B81" s="28" t="s">
        <v>277</v>
      </c>
      <c r="C81" s="28" t="s">
        <v>252</v>
      </c>
    </row>
    <row r="82" spans="1:3" ht="15">
      <c r="A82" s="29" t="s">
        <v>280</v>
      </c>
      <c r="B82" s="28" t="s">
        <v>279</v>
      </c>
      <c r="C82" s="28" t="s">
        <v>252</v>
      </c>
    </row>
    <row r="83" spans="1:3" ht="15">
      <c r="A83" s="29" t="s">
        <v>282</v>
      </c>
      <c r="B83" s="28" t="s">
        <v>281</v>
      </c>
      <c r="C83" s="28" t="s">
        <v>252</v>
      </c>
    </row>
    <row r="84" spans="1:3" ht="15">
      <c r="A84" s="29" t="s">
        <v>284</v>
      </c>
      <c r="B84" s="28" t="s">
        <v>283</v>
      </c>
      <c r="C84" s="28" t="s">
        <v>252</v>
      </c>
    </row>
    <row r="85" spans="1:3" ht="15">
      <c r="A85" s="29" t="s">
        <v>254</v>
      </c>
      <c r="B85" s="28" t="s">
        <v>253</v>
      </c>
      <c r="C85" s="28" t="s">
        <v>252</v>
      </c>
    </row>
    <row r="86" spans="1:3" ht="15">
      <c r="A86" s="29" t="s">
        <v>374</v>
      </c>
      <c r="B86" s="28" t="s">
        <v>375</v>
      </c>
      <c r="C86" s="28" t="s">
        <v>252</v>
      </c>
    </row>
    <row r="87" spans="1:3" ht="15">
      <c r="A87" s="29" t="s">
        <v>286</v>
      </c>
      <c r="B87" s="28" t="s">
        <v>285</v>
      </c>
      <c r="C87" s="28" t="s">
        <v>252</v>
      </c>
    </row>
    <row r="88" spans="1:3" ht="15">
      <c r="A88" s="29" t="s">
        <v>382</v>
      </c>
      <c r="B88" s="28" t="s">
        <v>383</v>
      </c>
      <c r="C88" s="28" t="s">
        <v>252</v>
      </c>
    </row>
    <row r="89" spans="1:3" ht="15">
      <c r="A89" s="29" t="s">
        <v>388</v>
      </c>
      <c r="B89" s="28" t="s">
        <v>389</v>
      </c>
      <c r="C89" s="28" t="s">
        <v>252</v>
      </c>
    </row>
    <row r="90" spans="1:3" ht="15">
      <c r="A90" s="29" t="s">
        <v>394</v>
      </c>
      <c r="B90" s="28" t="s">
        <v>395</v>
      </c>
      <c r="C90" s="28" t="s">
        <v>252</v>
      </c>
    </row>
    <row r="91" spans="1:3" ht="15">
      <c r="A91" s="29" t="s">
        <v>360</v>
      </c>
      <c r="B91" s="28" t="s">
        <v>361</v>
      </c>
      <c r="C91" s="28" t="s">
        <v>252</v>
      </c>
    </row>
    <row r="92" spans="1:3" ht="15">
      <c r="A92" s="29" t="s">
        <v>362</v>
      </c>
      <c r="B92" s="28" t="s">
        <v>363</v>
      </c>
      <c r="C92" s="28" t="s">
        <v>252</v>
      </c>
    </row>
    <row r="93" spans="1:3" ht="15">
      <c r="A93" s="29" t="s">
        <v>364</v>
      </c>
      <c r="B93" s="28" t="s">
        <v>365</v>
      </c>
      <c r="C93" s="28" t="s">
        <v>252</v>
      </c>
    </row>
    <row r="94" spans="1:3" ht="15">
      <c r="A94" s="29" t="s">
        <v>366</v>
      </c>
      <c r="B94" s="28" t="s">
        <v>367</v>
      </c>
      <c r="C94" s="28" t="s">
        <v>252</v>
      </c>
    </row>
    <row r="95" spans="1:3" ht="15">
      <c r="A95" s="29" t="s">
        <v>368</v>
      </c>
      <c r="B95" s="28" t="s">
        <v>369</v>
      </c>
      <c r="C95" s="28" t="s">
        <v>252</v>
      </c>
    </row>
    <row r="96" spans="1:3" ht="15">
      <c r="A96" s="29" t="s">
        <v>370</v>
      </c>
      <c r="B96" s="28" t="s">
        <v>371</v>
      </c>
      <c r="C96" s="28" t="s">
        <v>252</v>
      </c>
    </row>
    <row r="97" spans="1:3" ht="15">
      <c r="A97" s="29" t="s">
        <v>376</v>
      </c>
      <c r="B97" s="28" t="s">
        <v>377</v>
      </c>
      <c r="C97" s="28" t="s">
        <v>252</v>
      </c>
    </row>
    <row r="98" spans="1:3" ht="15">
      <c r="A98" s="29" t="s">
        <v>378</v>
      </c>
      <c r="B98" s="28" t="s">
        <v>379</v>
      </c>
      <c r="C98" s="28" t="s">
        <v>252</v>
      </c>
    </row>
    <row r="99" spans="1:3" ht="15">
      <c r="A99" s="29" t="s">
        <v>384</v>
      </c>
      <c r="B99" s="28" t="s">
        <v>385</v>
      </c>
      <c r="C99" s="28" t="s">
        <v>252</v>
      </c>
    </row>
    <row r="100" spans="1:3" ht="15">
      <c r="A100" s="29" t="s">
        <v>390</v>
      </c>
      <c r="B100" s="28" t="s">
        <v>391</v>
      </c>
      <c r="C100" s="28" t="s">
        <v>252</v>
      </c>
    </row>
    <row r="101" spans="1:3" ht="15">
      <c r="A101" s="29" t="s">
        <v>396</v>
      </c>
      <c r="B101" s="28" t="s">
        <v>397</v>
      </c>
      <c r="C101" s="28" t="s">
        <v>398</v>
      </c>
    </row>
    <row r="102" spans="1:3" ht="15">
      <c r="A102" s="29" t="s">
        <v>399</v>
      </c>
      <c r="B102" s="28" t="s">
        <v>400</v>
      </c>
      <c r="C102" s="28" t="s">
        <v>398</v>
      </c>
    </row>
    <row r="103" spans="1:3" ht="15">
      <c r="A103" s="29" t="s">
        <v>401</v>
      </c>
      <c r="B103" s="28" t="s">
        <v>402</v>
      </c>
      <c r="C103" s="28" t="s">
        <v>398</v>
      </c>
    </row>
    <row r="104" spans="1:3" ht="15">
      <c r="A104" s="29" t="s">
        <v>403</v>
      </c>
      <c r="B104" s="28" t="s">
        <v>404</v>
      </c>
      <c r="C104" s="28" t="s">
        <v>398</v>
      </c>
    </row>
    <row r="105" spans="1:3" ht="15">
      <c r="A105" s="29" t="s">
        <v>405</v>
      </c>
      <c r="B105" s="28" t="s">
        <v>406</v>
      </c>
      <c r="C105" s="28" t="s">
        <v>398</v>
      </c>
    </row>
    <row r="106" spans="1:3" ht="15">
      <c r="A106" s="29" t="s">
        <v>407</v>
      </c>
      <c r="B106" s="28" t="s">
        <v>408</v>
      </c>
      <c r="C106" s="28" t="s">
        <v>398</v>
      </c>
    </row>
    <row r="107" spans="1:3" ht="15">
      <c r="A107" s="31" t="s">
        <v>243</v>
      </c>
      <c r="B107" s="28" t="s">
        <v>411</v>
      </c>
      <c r="C107" s="28" t="s">
        <v>244</v>
      </c>
    </row>
    <row r="108" spans="1:3" ht="15">
      <c r="A108" s="28" t="s">
        <v>346</v>
      </c>
      <c r="B108" s="28" t="s">
        <v>435</v>
      </c>
      <c r="C108" s="28" t="s">
        <v>347</v>
      </c>
    </row>
    <row r="109" spans="1:3" ht="15">
      <c r="A109" s="28" t="s">
        <v>349</v>
      </c>
      <c r="B109" s="28" t="s">
        <v>436</v>
      </c>
      <c r="C109" s="28" t="s">
        <v>350</v>
      </c>
    </row>
    <row r="110" spans="1:3" ht="15">
      <c r="A110" s="28" t="s">
        <v>351</v>
      </c>
      <c r="B110" s="28" t="s">
        <v>437</v>
      </c>
      <c r="C110" s="28" t="s">
        <v>352</v>
      </c>
    </row>
    <row r="111" spans="1:3" ht="15">
      <c r="A111" s="31" t="s">
        <v>256</v>
      </c>
      <c r="B111" s="28" t="s">
        <v>423</v>
      </c>
      <c r="C111" s="28" t="s">
        <v>258</v>
      </c>
    </row>
    <row r="112" spans="1:3" ht="15">
      <c r="A112" s="29" t="s">
        <v>357</v>
      </c>
      <c r="B112" s="28" t="s">
        <v>440</v>
      </c>
      <c r="C112" s="28" t="s">
        <v>356</v>
      </c>
    </row>
    <row r="113" spans="1:3" ht="15">
      <c r="A113" s="29" t="s">
        <v>354</v>
      </c>
      <c r="B113" s="28" t="s">
        <v>441</v>
      </c>
      <c r="C113" s="28" t="s">
        <v>353</v>
      </c>
    </row>
    <row r="114" spans="1:3" ht="15">
      <c r="A114" s="29" t="s">
        <v>359</v>
      </c>
      <c r="B114" s="28" t="s">
        <v>442</v>
      </c>
      <c r="C114" s="28" t="s">
        <v>356</v>
      </c>
    </row>
    <row r="115" spans="1:3" ht="15">
      <c r="A115" s="29" t="s">
        <v>358</v>
      </c>
      <c r="B115" s="28" t="s">
        <v>443</v>
      </c>
      <c r="C115" s="28" t="s">
        <v>356</v>
      </c>
    </row>
    <row r="116" spans="1:3" ht="15">
      <c r="A116" s="29" t="s">
        <v>355</v>
      </c>
      <c r="B116" s="28" t="s">
        <v>444</v>
      </c>
      <c r="C116" s="28" t="s">
        <v>353</v>
      </c>
    </row>
    <row r="117" spans="1:3" ht="15">
      <c r="A117" s="28" t="s">
        <v>348</v>
      </c>
      <c r="B117" s="28" t="s">
        <v>438</v>
      </c>
      <c r="C117" s="28" t="s">
        <v>247</v>
      </c>
    </row>
    <row r="118" spans="1:3" ht="15">
      <c r="A118" s="28" t="s">
        <v>221</v>
      </c>
      <c r="B118" s="28" t="s">
        <v>445</v>
      </c>
      <c r="C118" s="28" t="s">
        <v>353</v>
      </c>
    </row>
    <row r="119" spans="1:3" ht="15">
      <c r="A119" s="29" t="s">
        <v>225</v>
      </c>
      <c r="B119" s="28" t="s">
        <v>446</v>
      </c>
      <c r="C119" s="28" t="s">
        <v>356</v>
      </c>
    </row>
    <row r="120" spans="1:3" ht="15">
      <c r="A120" s="31" t="s">
        <v>108</v>
      </c>
      <c r="B120" s="28" t="s">
        <v>410</v>
      </c>
      <c r="C120" s="28" t="s">
        <v>242</v>
      </c>
    </row>
    <row r="121" spans="1:3" ht="15">
      <c r="A121" s="31" t="s">
        <v>261</v>
      </c>
      <c r="B121" s="28" t="s">
        <v>260</v>
      </c>
      <c r="C121" s="28" t="s">
        <v>258</v>
      </c>
    </row>
    <row r="122" spans="1:3" ht="15">
      <c r="A122" s="31" t="s">
        <v>259</v>
      </c>
      <c r="B122" s="28" t="s">
        <v>257</v>
      </c>
      <c r="C122" s="28" t="s">
        <v>258</v>
      </c>
    </row>
    <row r="123" spans="1:3" ht="15">
      <c r="A123" s="31" t="s">
        <v>141</v>
      </c>
      <c r="B123" s="28" t="s">
        <v>91</v>
      </c>
      <c r="C123" s="28" t="s">
        <v>433</v>
      </c>
    </row>
    <row r="124" spans="1:3" ht="15">
      <c r="A124" s="29" t="s">
        <v>90</v>
      </c>
      <c r="B124" s="28" t="s">
        <v>91</v>
      </c>
      <c r="C124" s="28" t="s">
        <v>433</v>
      </c>
    </row>
    <row r="125" spans="1:3" ht="15">
      <c r="A125" s="31" t="s">
        <v>142</v>
      </c>
      <c r="B125" s="28" t="s">
        <v>92</v>
      </c>
      <c r="C125" s="28" t="s">
        <v>430</v>
      </c>
    </row>
    <row r="126" spans="1:3" ht="15">
      <c r="A126" s="31" t="s">
        <v>17</v>
      </c>
      <c r="B126" s="28" t="s">
        <v>92</v>
      </c>
      <c r="C126" s="28" t="s">
        <v>430</v>
      </c>
    </row>
    <row r="127" spans="1:3" ht="15">
      <c r="A127" s="29" t="s">
        <v>93</v>
      </c>
      <c r="B127" s="28" t="s">
        <v>92</v>
      </c>
      <c r="C127" s="28" t="s">
        <v>430</v>
      </c>
    </row>
    <row r="128" spans="1:3" ht="15">
      <c r="A128" s="28" t="s">
        <v>200</v>
      </c>
      <c r="B128" s="28" t="s">
        <v>439</v>
      </c>
      <c r="C128" s="28" t="s">
        <v>424</v>
      </c>
    </row>
    <row r="129" spans="1:3" ht="15">
      <c r="A129" s="30" t="s">
        <v>199</v>
      </c>
      <c r="B129" s="30" t="s">
        <v>204</v>
      </c>
      <c r="C129" s="30" t="s">
        <v>335</v>
      </c>
    </row>
    <row r="130" spans="1:3" ht="15">
      <c r="A130" s="28" t="s">
        <v>86</v>
      </c>
      <c r="B130" s="28" t="s">
        <v>87</v>
      </c>
      <c r="C130" s="28" t="s">
        <v>213</v>
      </c>
    </row>
    <row r="131" spans="1:3" ht="15">
      <c r="A131" s="30" t="s">
        <v>88</v>
      </c>
      <c r="B131" s="28" t="s">
        <v>292</v>
      </c>
      <c r="C131" s="28" t="s">
        <v>344</v>
      </c>
    </row>
    <row r="132" spans="1:3" ht="15">
      <c r="A132" s="31" t="s">
        <v>89</v>
      </c>
      <c r="B132" s="28" t="s">
        <v>292</v>
      </c>
      <c r="C132" s="28" t="s">
        <v>344</v>
      </c>
    </row>
    <row r="133" spans="1:3" ht="15">
      <c r="A133" s="28" t="s">
        <v>23</v>
      </c>
      <c r="B133" s="28" t="s">
        <v>292</v>
      </c>
      <c r="C133" s="28" t="s">
        <v>344</v>
      </c>
    </row>
    <row r="134" spans="1:3" ht="15">
      <c r="A134" s="28" t="s">
        <v>466</v>
      </c>
      <c r="B134" s="28" t="s">
        <v>468</v>
      </c>
      <c r="C134" s="28" t="s">
        <v>467</v>
      </c>
    </row>
    <row r="135" spans="1:3" ht="15">
      <c r="A135" s="28" t="s">
        <v>527</v>
      </c>
      <c r="B135" s="28" t="s">
        <v>528</v>
      </c>
      <c r="C135" s="28" t="s">
        <v>529</v>
      </c>
    </row>
    <row r="136" spans="1:3" ht="15">
      <c r="A136" s="28" t="s">
        <v>469</v>
      </c>
      <c r="B136" s="28" t="s">
        <v>470</v>
      </c>
      <c r="C136" s="28" t="s">
        <v>471</v>
      </c>
    </row>
  </sheetData>
  <autoFilter ref="A1:C134" xr:uid="{43F7C292-D178-42AF-9098-EAB560B04363}"/>
  <sortState xmlns:xlrd2="http://schemas.microsoft.com/office/spreadsheetml/2017/richdata2" ref="A2:C133">
    <sortCondition ref="A2:A133"/>
  </sortState>
  <phoneticPr fontId="2" type="noConversion"/>
  <conditionalFormatting sqref="A2:A41 A53:A134 A134:B134 A136:B136">
    <cfRule type="duplicateValues" dxfId="9" priority="75"/>
  </conditionalFormatting>
  <conditionalFormatting sqref="A2:A134 A134:B134 A136:B136">
    <cfRule type="duplicateValues" dxfId="8" priority="77"/>
  </conditionalFormatting>
  <conditionalFormatting sqref="A12:A41">
    <cfRule type="duplicateValues" dxfId="7" priority="74"/>
  </conditionalFormatting>
  <conditionalFormatting sqref="A135">
    <cfRule type="duplicateValues" dxfId="6" priority="1"/>
    <cfRule type="duplicateValues" dxfId="5" priority="2"/>
  </conditionalFormatting>
  <conditionalFormatting sqref="B30">
    <cfRule type="duplicateValues" dxfId="4" priority="5"/>
    <cfRule type="duplicateValues" dxfId="3" priority="6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9A8F-2C7B-4B41-AFBD-6249E2556FA8}">
  <dimension ref="A1:E341"/>
  <sheetViews>
    <sheetView topLeftCell="A322" workbookViewId="0">
      <selection activeCell="C347" sqref="C347"/>
    </sheetView>
  </sheetViews>
  <sheetFormatPr defaultRowHeight="14.25"/>
  <cols>
    <col min="1" max="1" width="21.125" bestFit="1" customWidth="1"/>
    <col min="2" max="2" width="26.125" bestFit="1" customWidth="1"/>
    <col min="3" max="3" width="45.375" bestFit="1" customWidth="1"/>
    <col min="4" max="4" width="24.125" bestFit="1" customWidth="1"/>
    <col min="5" max="6" width="24.75" bestFit="1" customWidth="1"/>
    <col min="7" max="11" width="10.375" bestFit="1" customWidth="1"/>
    <col min="12" max="12" width="7" bestFit="1" customWidth="1"/>
    <col min="13" max="13" width="10.75" bestFit="1" customWidth="1"/>
    <col min="14" max="67" width="3" bestFit="1" customWidth="1"/>
    <col min="68" max="170" width="4" bestFit="1" customWidth="1"/>
    <col min="171" max="195" width="5" bestFit="1" customWidth="1"/>
    <col min="196" max="196" width="7" bestFit="1" customWidth="1"/>
    <col min="197" max="197" width="10.75" bestFit="1" customWidth="1"/>
  </cols>
  <sheetData>
    <row r="1" spans="1:5">
      <c r="A1" s="21" t="s">
        <v>164</v>
      </c>
      <c r="B1" s="1" t="s">
        <v>493</v>
      </c>
    </row>
    <row r="2" spans="1:5">
      <c r="A2" s="21" t="s">
        <v>167</v>
      </c>
      <c r="B2" s="1" t="s">
        <v>493</v>
      </c>
    </row>
    <row r="4" spans="1:5">
      <c r="A4" s="21" t="s">
        <v>546</v>
      </c>
      <c r="B4" s="21" t="s">
        <v>1</v>
      </c>
      <c r="C4" s="21" t="s">
        <v>166</v>
      </c>
      <c r="D4" s="21" t="s">
        <v>3</v>
      </c>
      <c r="E4" s="1" t="s">
        <v>547</v>
      </c>
    </row>
    <row r="5" spans="1:5">
      <c r="A5" s="1" t="s">
        <v>472</v>
      </c>
      <c r="B5" s="1" t="s">
        <v>208</v>
      </c>
      <c r="C5" s="1" t="s">
        <v>209</v>
      </c>
      <c r="D5" s="1" t="s">
        <v>207</v>
      </c>
      <c r="E5" s="36">
        <v>1</v>
      </c>
    </row>
    <row r="6" spans="1:5">
      <c r="A6" s="1" t="s">
        <v>472</v>
      </c>
      <c r="B6" s="1" t="s">
        <v>158</v>
      </c>
      <c r="C6" s="1" t="s">
        <v>176</v>
      </c>
      <c r="D6" s="1" t="s">
        <v>100</v>
      </c>
      <c r="E6" s="36">
        <v>15</v>
      </c>
    </row>
    <row r="7" spans="1:5">
      <c r="A7" s="1" t="s">
        <v>472</v>
      </c>
      <c r="B7" s="1" t="s">
        <v>130</v>
      </c>
      <c r="C7" s="1" t="s">
        <v>180</v>
      </c>
      <c r="D7" s="1" t="s">
        <v>107</v>
      </c>
      <c r="E7" s="36">
        <v>3</v>
      </c>
    </row>
    <row r="8" spans="1:5">
      <c r="A8" s="1" t="s">
        <v>472</v>
      </c>
      <c r="B8" s="1" t="s">
        <v>307</v>
      </c>
      <c r="C8" s="1" t="s">
        <v>212</v>
      </c>
      <c r="D8" s="1" t="s">
        <v>106</v>
      </c>
      <c r="E8" s="36">
        <v>1</v>
      </c>
    </row>
    <row r="9" spans="1:5">
      <c r="A9" s="1" t="s">
        <v>472</v>
      </c>
      <c r="B9" s="1" t="s">
        <v>129</v>
      </c>
      <c r="C9" s="1" t="s">
        <v>179</v>
      </c>
      <c r="D9" s="1" t="s">
        <v>106</v>
      </c>
      <c r="E9" s="36">
        <v>1</v>
      </c>
    </row>
    <row r="10" spans="1:5">
      <c r="A10" s="1" t="s">
        <v>472</v>
      </c>
      <c r="B10" s="1" t="s">
        <v>308</v>
      </c>
      <c r="C10" s="1" t="s">
        <v>323</v>
      </c>
      <c r="D10" s="1" t="s">
        <v>100</v>
      </c>
      <c r="E10" s="36">
        <v>3</v>
      </c>
    </row>
    <row r="11" spans="1:5">
      <c r="A11" s="1" t="s">
        <v>472</v>
      </c>
      <c r="B11" s="1" t="s">
        <v>308</v>
      </c>
      <c r="C11" s="1" t="s">
        <v>323</v>
      </c>
      <c r="D11" s="1" t="s">
        <v>107</v>
      </c>
      <c r="E11" s="36">
        <v>1</v>
      </c>
    </row>
    <row r="12" spans="1:5">
      <c r="A12" s="1" t="s">
        <v>472</v>
      </c>
      <c r="B12" s="1" t="s">
        <v>314</v>
      </c>
      <c r="C12" s="1" t="s">
        <v>327</v>
      </c>
      <c r="D12" s="1" t="s">
        <v>259</v>
      </c>
      <c r="E12" s="36">
        <v>2</v>
      </c>
    </row>
    <row r="13" spans="1:5">
      <c r="A13" s="1" t="s">
        <v>472</v>
      </c>
      <c r="B13" s="1" t="s">
        <v>313</v>
      </c>
      <c r="C13" s="1" t="s">
        <v>326</v>
      </c>
      <c r="D13" s="1" t="s">
        <v>256</v>
      </c>
      <c r="E13" s="36">
        <v>1</v>
      </c>
    </row>
    <row r="14" spans="1:5">
      <c r="A14" s="1" t="s">
        <v>472</v>
      </c>
      <c r="B14" s="1" t="s">
        <v>315</v>
      </c>
      <c r="C14" s="1" t="s">
        <v>328</v>
      </c>
      <c r="D14" s="1" t="s">
        <v>261</v>
      </c>
      <c r="E14" s="36">
        <v>3</v>
      </c>
    </row>
    <row r="15" spans="1:5">
      <c r="A15" s="1" t="s">
        <v>472</v>
      </c>
      <c r="B15" s="1" t="s">
        <v>112</v>
      </c>
      <c r="C15" s="1" t="s">
        <v>170</v>
      </c>
      <c r="D15" s="1" t="s">
        <v>41</v>
      </c>
      <c r="E15" s="36">
        <v>169</v>
      </c>
    </row>
    <row r="16" spans="1:5">
      <c r="A16" s="1" t="s">
        <v>472</v>
      </c>
      <c r="B16" s="1" t="s">
        <v>121</v>
      </c>
      <c r="C16" s="1" t="s">
        <v>186</v>
      </c>
      <c r="D16" s="1" t="s">
        <v>66</v>
      </c>
      <c r="E16" s="36">
        <v>218</v>
      </c>
    </row>
    <row r="17" spans="1:5">
      <c r="A17" s="1" t="s">
        <v>472</v>
      </c>
      <c r="B17" s="1" t="s">
        <v>121</v>
      </c>
      <c r="C17" s="1" t="s">
        <v>186</v>
      </c>
      <c r="D17" s="1" t="s">
        <v>234</v>
      </c>
      <c r="E17" s="36">
        <v>36</v>
      </c>
    </row>
    <row r="18" spans="1:5">
      <c r="A18" s="1" t="s">
        <v>472</v>
      </c>
      <c r="B18" s="1" t="s">
        <v>114</v>
      </c>
      <c r="C18" s="1" t="s">
        <v>171</v>
      </c>
      <c r="D18" s="1" t="s">
        <v>44</v>
      </c>
      <c r="E18" s="36">
        <v>49</v>
      </c>
    </row>
    <row r="19" spans="1:5">
      <c r="A19" s="1" t="s">
        <v>472</v>
      </c>
      <c r="B19" s="1" t="s">
        <v>304</v>
      </c>
      <c r="C19" s="1" t="s">
        <v>321</v>
      </c>
      <c r="D19" s="1" t="s">
        <v>45</v>
      </c>
      <c r="E19" s="36">
        <v>15</v>
      </c>
    </row>
    <row r="20" spans="1:5">
      <c r="A20" s="1" t="s">
        <v>472</v>
      </c>
      <c r="B20" s="1" t="s">
        <v>306</v>
      </c>
      <c r="C20" s="1" t="s">
        <v>322</v>
      </c>
      <c r="D20" s="1" t="s">
        <v>41</v>
      </c>
      <c r="E20" s="36">
        <v>38</v>
      </c>
    </row>
    <row r="21" spans="1:5">
      <c r="A21" s="1" t="s">
        <v>472</v>
      </c>
      <c r="B21" s="1" t="s">
        <v>196</v>
      </c>
      <c r="C21" s="1" t="s">
        <v>197</v>
      </c>
      <c r="D21" s="1" t="s">
        <v>54</v>
      </c>
      <c r="E21" s="36">
        <v>67</v>
      </c>
    </row>
    <row r="22" spans="1:5">
      <c r="A22" s="1" t="s">
        <v>472</v>
      </c>
      <c r="B22" s="1" t="s">
        <v>118</v>
      </c>
      <c r="C22" s="1" t="s">
        <v>173</v>
      </c>
      <c r="D22" s="1" t="s">
        <v>54</v>
      </c>
      <c r="E22" s="36">
        <v>263</v>
      </c>
    </row>
    <row r="23" spans="1:5">
      <c r="A23" s="1" t="s">
        <v>472</v>
      </c>
      <c r="B23" s="1" t="s">
        <v>122</v>
      </c>
      <c r="C23" s="1" t="s">
        <v>174</v>
      </c>
      <c r="D23" s="1" t="s">
        <v>104</v>
      </c>
      <c r="E23" s="36">
        <v>37</v>
      </c>
    </row>
    <row r="24" spans="1:5">
      <c r="A24" s="1" t="s">
        <v>472</v>
      </c>
      <c r="B24" s="1" t="s">
        <v>122</v>
      </c>
      <c r="C24" s="1" t="s">
        <v>174</v>
      </c>
      <c r="D24" s="1" t="s">
        <v>68</v>
      </c>
      <c r="E24" s="36">
        <v>73</v>
      </c>
    </row>
    <row r="25" spans="1:5">
      <c r="A25" s="1" t="s">
        <v>472</v>
      </c>
      <c r="B25" s="1" t="s">
        <v>131</v>
      </c>
      <c r="C25" s="1" t="s">
        <v>181</v>
      </c>
      <c r="D25" s="1" t="s">
        <v>108</v>
      </c>
      <c r="E25" s="36">
        <v>1</v>
      </c>
    </row>
    <row r="26" spans="1:5">
      <c r="A26" s="1" t="s">
        <v>472</v>
      </c>
      <c r="B26" s="1" t="s">
        <v>310</v>
      </c>
      <c r="C26" s="1" t="s">
        <v>324</v>
      </c>
      <c r="D26" s="1" t="s">
        <v>98</v>
      </c>
      <c r="E26" s="36">
        <v>6</v>
      </c>
    </row>
    <row r="27" spans="1:5">
      <c r="A27" s="1" t="s">
        <v>472</v>
      </c>
      <c r="B27" s="1" t="s">
        <v>309</v>
      </c>
      <c r="C27" s="1" t="s">
        <v>212</v>
      </c>
      <c r="D27" s="1" t="s">
        <v>51</v>
      </c>
      <c r="E27" s="36">
        <v>8</v>
      </c>
    </row>
    <row r="28" spans="1:5">
      <c r="A28" s="1" t="s">
        <v>472</v>
      </c>
      <c r="B28" s="1" t="s">
        <v>301</v>
      </c>
      <c r="C28" s="1" t="s">
        <v>319</v>
      </c>
      <c r="D28" s="1" t="s">
        <v>243</v>
      </c>
      <c r="E28" s="36">
        <v>1</v>
      </c>
    </row>
    <row r="29" spans="1:5">
      <c r="A29" s="1" t="s">
        <v>472</v>
      </c>
      <c r="B29" s="1" t="s">
        <v>128</v>
      </c>
      <c r="C29" s="1" t="s">
        <v>178</v>
      </c>
      <c r="D29" s="1" t="s">
        <v>105</v>
      </c>
      <c r="E29" s="36">
        <v>1</v>
      </c>
    </row>
    <row r="30" spans="1:5">
      <c r="A30" s="1" t="s">
        <v>472</v>
      </c>
      <c r="B30" s="1" t="s">
        <v>116</v>
      </c>
      <c r="C30" s="1" t="s">
        <v>172</v>
      </c>
      <c r="D30" s="1" t="s">
        <v>51</v>
      </c>
      <c r="E30" s="36">
        <v>33</v>
      </c>
    </row>
    <row r="31" spans="1:5">
      <c r="A31" s="1" t="s">
        <v>472</v>
      </c>
      <c r="B31" s="1" t="s">
        <v>126</v>
      </c>
      <c r="C31" s="1" t="s">
        <v>175</v>
      </c>
      <c r="D31" s="1" t="s">
        <v>98</v>
      </c>
      <c r="E31" s="36">
        <v>31</v>
      </c>
    </row>
    <row r="32" spans="1:5">
      <c r="A32" s="1" t="s">
        <v>564</v>
      </c>
      <c r="B32" s="1"/>
      <c r="C32" s="1"/>
      <c r="D32" s="1"/>
      <c r="E32" s="36">
        <v>1077</v>
      </c>
    </row>
    <row r="33" spans="1:5">
      <c r="A33" s="43">
        <v>46078</v>
      </c>
      <c r="B33" s="1" t="s">
        <v>14</v>
      </c>
      <c r="C33" s="1" t="s">
        <v>450</v>
      </c>
      <c r="D33" s="1" t="s">
        <v>13</v>
      </c>
      <c r="E33" s="36">
        <v>346</v>
      </c>
    </row>
    <row r="34" spans="1:5">
      <c r="A34" s="43">
        <v>46078</v>
      </c>
      <c r="B34" s="1" t="s">
        <v>11</v>
      </c>
      <c r="C34" s="1" t="s">
        <v>12</v>
      </c>
      <c r="D34" s="1" t="s">
        <v>13</v>
      </c>
      <c r="E34" s="36">
        <v>173</v>
      </c>
    </row>
    <row r="35" spans="1:5">
      <c r="A35" s="1" t="s">
        <v>565</v>
      </c>
      <c r="B35" s="1"/>
      <c r="C35" s="1"/>
      <c r="D35" s="1"/>
      <c r="E35" s="36">
        <v>519</v>
      </c>
    </row>
    <row r="36" spans="1:5">
      <c r="A36" s="43">
        <v>46091</v>
      </c>
      <c r="B36" s="1" t="s">
        <v>145</v>
      </c>
      <c r="C36" s="1" t="s">
        <v>146</v>
      </c>
      <c r="D36" s="1" t="s">
        <v>20</v>
      </c>
      <c r="E36" s="36">
        <v>80</v>
      </c>
    </row>
    <row r="37" spans="1:5">
      <c r="A37" s="43">
        <v>46091</v>
      </c>
      <c r="B37" s="1" t="s">
        <v>145</v>
      </c>
      <c r="C37" s="1" t="s">
        <v>146</v>
      </c>
      <c r="D37" s="1" t="s">
        <v>22</v>
      </c>
      <c r="E37" s="36">
        <v>229</v>
      </c>
    </row>
    <row r="38" spans="1:5">
      <c r="A38" s="43">
        <v>46091</v>
      </c>
      <c r="B38" s="1" t="s">
        <v>152</v>
      </c>
      <c r="C38" s="1" t="s">
        <v>190</v>
      </c>
      <c r="D38" s="1" t="s">
        <v>19</v>
      </c>
      <c r="E38" s="36">
        <v>87</v>
      </c>
    </row>
    <row r="39" spans="1:5">
      <c r="A39" s="43">
        <v>46091</v>
      </c>
      <c r="B39" s="1" t="s">
        <v>152</v>
      </c>
      <c r="C39" s="1" t="s">
        <v>190</v>
      </c>
      <c r="D39" s="1" t="s">
        <v>73</v>
      </c>
      <c r="E39" s="36">
        <v>513</v>
      </c>
    </row>
    <row r="40" spans="1:5">
      <c r="A40" s="43">
        <v>46091</v>
      </c>
      <c r="B40" s="1" t="s">
        <v>153</v>
      </c>
      <c r="C40" s="1" t="s">
        <v>154</v>
      </c>
      <c r="D40" s="1" t="s">
        <v>18</v>
      </c>
      <c r="E40" s="36">
        <v>44</v>
      </c>
    </row>
    <row r="41" spans="1:5">
      <c r="A41" s="43">
        <v>46091</v>
      </c>
      <c r="B41" s="1" t="s">
        <v>153</v>
      </c>
      <c r="C41" s="1" t="s">
        <v>154</v>
      </c>
      <c r="D41" s="1" t="s">
        <v>76</v>
      </c>
      <c r="E41" s="36">
        <v>49</v>
      </c>
    </row>
    <row r="42" spans="1:5">
      <c r="A42" s="43">
        <v>46091</v>
      </c>
      <c r="B42" s="1" t="s">
        <v>147</v>
      </c>
      <c r="C42" s="1" t="s">
        <v>148</v>
      </c>
      <c r="D42" s="1" t="s">
        <v>84</v>
      </c>
      <c r="E42" s="36">
        <v>34</v>
      </c>
    </row>
    <row r="43" spans="1:5">
      <c r="A43" s="43">
        <v>46091</v>
      </c>
      <c r="B43" s="1" t="s">
        <v>147</v>
      </c>
      <c r="C43" s="1" t="s">
        <v>148</v>
      </c>
      <c r="D43" s="1" t="s">
        <v>224</v>
      </c>
      <c r="E43" s="36">
        <v>148</v>
      </c>
    </row>
    <row r="44" spans="1:5">
      <c r="A44" s="43">
        <v>46091</v>
      </c>
      <c r="B44" s="1" t="s">
        <v>311</v>
      </c>
      <c r="C44" s="1" t="s">
        <v>146</v>
      </c>
      <c r="D44" s="1" t="s">
        <v>72</v>
      </c>
      <c r="E44" s="36">
        <v>457</v>
      </c>
    </row>
    <row r="45" spans="1:5">
      <c r="A45" s="43">
        <v>46091</v>
      </c>
      <c r="B45" s="1" t="s">
        <v>311</v>
      </c>
      <c r="C45" s="1" t="s">
        <v>146</v>
      </c>
      <c r="D45" s="1" t="s">
        <v>28</v>
      </c>
      <c r="E45" s="36">
        <v>98</v>
      </c>
    </row>
    <row r="46" spans="1:5">
      <c r="A46" s="43">
        <v>46091</v>
      </c>
      <c r="B46" s="1" t="s">
        <v>312</v>
      </c>
      <c r="C46" s="1" t="s">
        <v>325</v>
      </c>
      <c r="D46" s="1" t="s">
        <v>75</v>
      </c>
      <c r="E46" s="36">
        <v>232</v>
      </c>
    </row>
    <row r="47" spans="1:5">
      <c r="A47" s="43">
        <v>46091</v>
      </c>
      <c r="B47" s="1" t="s">
        <v>312</v>
      </c>
      <c r="C47" s="1" t="s">
        <v>325</v>
      </c>
      <c r="D47" s="1" t="s">
        <v>223</v>
      </c>
      <c r="E47" s="36">
        <v>22</v>
      </c>
    </row>
    <row r="48" spans="1:5">
      <c r="A48" s="43">
        <v>46091</v>
      </c>
      <c r="B48" s="1" t="s">
        <v>151</v>
      </c>
      <c r="C48" s="1" t="s">
        <v>148</v>
      </c>
      <c r="D48" s="1" t="s">
        <v>80</v>
      </c>
      <c r="E48" s="36">
        <v>296</v>
      </c>
    </row>
    <row r="49" spans="1:5">
      <c r="A49" s="43">
        <v>46091</v>
      </c>
      <c r="B49" s="1" t="s">
        <v>151</v>
      </c>
      <c r="C49" s="1" t="s">
        <v>148</v>
      </c>
      <c r="D49" s="1" t="s">
        <v>81</v>
      </c>
      <c r="E49" s="36">
        <v>544</v>
      </c>
    </row>
    <row r="50" spans="1:5">
      <c r="A50" s="43">
        <v>46091</v>
      </c>
      <c r="B50" s="1" t="s">
        <v>239</v>
      </c>
      <c r="C50" s="1" t="s">
        <v>154</v>
      </c>
      <c r="D50" s="1" t="s">
        <v>77</v>
      </c>
      <c r="E50" s="36">
        <v>269</v>
      </c>
    </row>
    <row r="51" spans="1:5">
      <c r="A51" s="43">
        <v>46091</v>
      </c>
      <c r="B51" s="1" t="s">
        <v>239</v>
      </c>
      <c r="C51" s="1" t="s">
        <v>154</v>
      </c>
      <c r="D51" s="1" t="s">
        <v>78</v>
      </c>
      <c r="E51" s="36">
        <v>234</v>
      </c>
    </row>
    <row r="52" spans="1:5">
      <c r="A52" s="43">
        <v>46091</v>
      </c>
      <c r="B52" s="1" t="s">
        <v>156</v>
      </c>
      <c r="C52" s="1" t="s">
        <v>191</v>
      </c>
      <c r="D52" s="1" t="s">
        <v>82</v>
      </c>
      <c r="E52" s="36">
        <v>24</v>
      </c>
    </row>
    <row r="53" spans="1:5">
      <c r="A53" s="43">
        <v>46091</v>
      </c>
      <c r="B53" s="1" t="s">
        <v>156</v>
      </c>
      <c r="C53" s="1" t="s">
        <v>191</v>
      </c>
      <c r="D53" s="1" t="s">
        <v>222</v>
      </c>
      <c r="E53" s="36">
        <v>72</v>
      </c>
    </row>
    <row r="54" spans="1:5">
      <c r="A54" s="1" t="s">
        <v>566</v>
      </c>
      <c r="B54" s="1"/>
      <c r="C54" s="1"/>
      <c r="D54" s="1"/>
      <c r="E54" s="36">
        <v>3432</v>
      </c>
    </row>
    <row r="55" spans="1:5">
      <c r="A55" s="43">
        <v>46100</v>
      </c>
      <c r="B55" s="1" t="s">
        <v>152</v>
      </c>
      <c r="C55" s="1" t="s">
        <v>190</v>
      </c>
      <c r="D55" s="1" t="s">
        <v>73</v>
      </c>
      <c r="E55" s="36">
        <v>173</v>
      </c>
    </row>
    <row r="56" spans="1:5">
      <c r="A56" s="43">
        <v>46100</v>
      </c>
      <c r="B56" s="1" t="s">
        <v>147</v>
      </c>
      <c r="C56" s="1" t="s">
        <v>148</v>
      </c>
      <c r="D56" s="1" t="s">
        <v>84</v>
      </c>
      <c r="E56" s="36">
        <v>9</v>
      </c>
    </row>
    <row r="57" spans="1:5">
      <c r="A57" s="43">
        <v>46100</v>
      </c>
      <c r="B57" s="1" t="s">
        <v>147</v>
      </c>
      <c r="C57" s="1" t="s">
        <v>148</v>
      </c>
      <c r="D57" s="1" t="s">
        <v>224</v>
      </c>
      <c r="E57" s="36">
        <v>2</v>
      </c>
    </row>
    <row r="58" spans="1:5">
      <c r="A58" s="43">
        <v>46100</v>
      </c>
      <c r="B58" s="1" t="s">
        <v>311</v>
      </c>
      <c r="C58" s="1" t="s">
        <v>146</v>
      </c>
      <c r="D58" s="1" t="s">
        <v>72</v>
      </c>
      <c r="E58" s="36">
        <v>47</v>
      </c>
    </row>
    <row r="59" spans="1:5">
      <c r="A59" s="43">
        <v>46100</v>
      </c>
      <c r="B59" s="1" t="s">
        <v>311</v>
      </c>
      <c r="C59" s="1" t="s">
        <v>146</v>
      </c>
      <c r="D59" s="1" t="s">
        <v>28</v>
      </c>
      <c r="E59" s="36">
        <v>148</v>
      </c>
    </row>
    <row r="60" spans="1:5">
      <c r="A60" s="43">
        <v>46100</v>
      </c>
      <c r="B60" s="1" t="s">
        <v>312</v>
      </c>
      <c r="C60" s="1" t="s">
        <v>325</v>
      </c>
      <c r="D60" s="1" t="s">
        <v>75</v>
      </c>
      <c r="E60" s="36">
        <v>6</v>
      </c>
    </row>
    <row r="61" spans="1:5">
      <c r="A61" s="43">
        <v>46100</v>
      </c>
      <c r="B61" s="1" t="s">
        <v>312</v>
      </c>
      <c r="C61" s="1" t="s">
        <v>325</v>
      </c>
      <c r="D61" s="1" t="s">
        <v>223</v>
      </c>
      <c r="E61" s="36">
        <v>68</v>
      </c>
    </row>
    <row r="62" spans="1:5">
      <c r="A62" s="43">
        <v>46100</v>
      </c>
      <c r="B62" s="1" t="s">
        <v>151</v>
      </c>
      <c r="C62" s="1" t="s">
        <v>148</v>
      </c>
      <c r="D62" s="1" t="s">
        <v>80</v>
      </c>
      <c r="E62" s="36">
        <v>477</v>
      </c>
    </row>
    <row r="63" spans="1:5">
      <c r="A63" s="43">
        <v>46100</v>
      </c>
      <c r="B63" s="1" t="s">
        <v>151</v>
      </c>
      <c r="C63" s="1" t="s">
        <v>148</v>
      </c>
      <c r="D63" s="1" t="s">
        <v>81</v>
      </c>
      <c r="E63" s="36">
        <v>64</v>
      </c>
    </row>
    <row r="64" spans="1:5">
      <c r="A64" s="43">
        <v>46100</v>
      </c>
      <c r="B64" s="1" t="s">
        <v>239</v>
      </c>
      <c r="C64" s="1" t="s">
        <v>154</v>
      </c>
      <c r="D64" s="1" t="s">
        <v>78</v>
      </c>
      <c r="E64" s="36">
        <v>121</v>
      </c>
    </row>
    <row r="65" spans="1:5">
      <c r="A65" s="43">
        <v>46100</v>
      </c>
      <c r="B65" s="1" t="s">
        <v>156</v>
      </c>
      <c r="C65" s="1" t="s">
        <v>191</v>
      </c>
      <c r="D65" s="1" t="s">
        <v>82</v>
      </c>
      <c r="E65" s="36">
        <v>14</v>
      </c>
    </row>
    <row r="66" spans="1:5">
      <c r="A66" s="43">
        <v>46100</v>
      </c>
      <c r="B66" s="1" t="s">
        <v>156</v>
      </c>
      <c r="C66" s="1" t="s">
        <v>191</v>
      </c>
      <c r="D66" s="1" t="s">
        <v>222</v>
      </c>
      <c r="E66" s="36">
        <v>14</v>
      </c>
    </row>
    <row r="67" spans="1:5">
      <c r="A67" s="43">
        <v>46100</v>
      </c>
      <c r="B67" s="1" t="s">
        <v>14</v>
      </c>
      <c r="C67" s="1" t="s">
        <v>450</v>
      </c>
      <c r="D67" s="1" t="s">
        <v>60</v>
      </c>
      <c r="E67" s="36">
        <v>80</v>
      </c>
    </row>
    <row r="68" spans="1:5">
      <c r="A68" s="43">
        <v>46100</v>
      </c>
      <c r="B68" s="1" t="s">
        <v>14</v>
      </c>
      <c r="C68" s="1" t="s">
        <v>450</v>
      </c>
      <c r="D68" s="1" t="s">
        <v>13</v>
      </c>
      <c r="E68" s="36">
        <v>692</v>
      </c>
    </row>
    <row r="69" spans="1:5">
      <c r="A69" s="43">
        <v>46100</v>
      </c>
      <c r="B69" s="1" t="s">
        <v>332</v>
      </c>
      <c r="C69" s="1" t="s">
        <v>333</v>
      </c>
      <c r="D69" s="1" t="s">
        <v>226</v>
      </c>
      <c r="E69" s="36">
        <v>282</v>
      </c>
    </row>
    <row r="70" spans="1:5">
      <c r="A70" s="43">
        <v>46100</v>
      </c>
      <c r="B70" s="1" t="s">
        <v>202</v>
      </c>
      <c r="C70" s="1" t="s">
        <v>203</v>
      </c>
      <c r="D70" s="1" t="s">
        <v>160</v>
      </c>
      <c r="E70" s="36">
        <v>754</v>
      </c>
    </row>
    <row r="71" spans="1:5">
      <c r="A71" s="43">
        <v>46100</v>
      </c>
      <c r="B71" s="1" t="s">
        <v>509</v>
      </c>
      <c r="C71" s="1" t="s">
        <v>33</v>
      </c>
      <c r="D71" s="1" t="s">
        <v>24</v>
      </c>
      <c r="E71" s="36">
        <v>1671</v>
      </c>
    </row>
    <row r="72" spans="1:5">
      <c r="A72" s="43">
        <v>46100</v>
      </c>
      <c r="B72" s="1" t="s">
        <v>117</v>
      </c>
      <c r="C72" s="1" t="s">
        <v>169</v>
      </c>
      <c r="D72" s="1" t="s">
        <v>52</v>
      </c>
      <c r="E72" s="36">
        <v>5</v>
      </c>
    </row>
    <row r="73" spans="1:5">
      <c r="A73" s="43">
        <v>46100</v>
      </c>
      <c r="B73" s="1" t="s">
        <v>162</v>
      </c>
      <c r="C73" s="1" t="s">
        <v>187</v>
      </c>
      <c r="D73" s="1" t="s">
        <v>140</v>
      </c>
      <c r="E73" s="36">
        <v>114</v>
      </c>
    </row>
    <row r="74" spans="1:5">
      <c r="A74" s="43">
        <v>46100</v>
      </c>
      <c r="B74" s="1" t="s">
        <v>123</v>
      </c>
      <c r="C74" s="1" t="s">
        <v>183</v>
      </c>
      <c r="D74" s="1" t="s">
        <v>86</v>
      </c>
      <c r="E74" s="36">
        <v>149</v>
      </c>
    </row>
    <row r="75" spans="1:5">
      <c r="A75" s="43">
        <v>46100</v>
      </c>
      <c r="B75" s="1" t="s">
        <v>318</v>
      </c>
      <c r="C75" s="1" t="s">
        <v>189</v>
      </c>
      <c r="D75" s="1" t="s">
        <v>137</v>
      </c>
      <c r="E75" s="36">
        <v>1</v>
      </c>
    </row>
    <row r="76" spans="1:5">
      <c r="A76" s="43">
        <v>46100</v>
      </c>
      <c r="B76" s="1" t="s">
        <v>317</v>
      </c>
      <c r="C76" s="1" t="s">
        <v>184</v>
      </c>
      <c r="D76" s="1" t="s">
        <v>141</v>
      </c>
      <c r="E76" s="36">
        <v>24</v>
      </c>
    </row>
    <row r="77" spans="1:5">
      <c r="A77" s="43">
        <v>46100</v>
      </c>
      <c r="B77" s="1" t="s">
        <v>317</v>
      </c>
      <c r="C77" s="1" t="s">
        <v>184</v>
      </c>
      <c r="D77" s="1" t="s">
        <v>90</v>
      </c>
      <c r="E77" s="36">
        <v>1049</v>
      </c>
    </row>
    <row r="78" spans="1:5">
      <c r="A78" s="43">
        <v>46100</v>
      </c>
      <c r="B78" s="1" t="s">
        <v>330</v>
      </c>
      <c r="C78" s="1" t="s">
        <v>30</v>
      </c>
      <c r="D78" s="1" t="s">
        <v>17</v>
      </c>
      <c r="E78" s="36">
        <v>1</v>
      </c>
    </row>
    <row r="79" spans="1:5">
      <c r="A79" s="43">
        <v>46100</v>
      </c>
      <c r="B79" s="1" t="s">
        <v>235</v>
      </c>
      <c r="C79" s="1" t="s">
        <v>188</v>
      </c>
      <c r="D79" s="1" t="s">
        <v>139</v>
      </c>
      <c r="E79" s="36">
        <v>1283</v>
      </c>
    </row>
    <row r="80" spans="1:5">
      <c r="A80" s="43">
        <v>46100</v>
      </c>
      <c r="B80" s="1" t="s">
        <v>236</v>
      </c>
      <c r="C80" s="1" t="s">
        <v>38</v>
      </c>
      <c r="D80" s="1" t="s">
        <v>26</v>
      </c>
      <c r="E80" s="36">
        <v>24</v>
      </c>
    </row>
    <row r="81" spans="1:5">
      <c r="A81" s="43">
        <v>46100</v>
      </c>
      <c r="B81" s="1" t="s">
        <v>236</v>
      </c>
      <c r="C81" s="1" t="s">
        <v>38</v>
      </c>
      <c r="D81" s="1" t="s">
        <v>95</v>
      </c>
      <c r="E81" s="36">
        <v>543</v>
      </c>
    </row>
    <row r="82" spans="1:5">
      <c r="A82" s="43">
        <v>46100</v>
      </c>
      <c r="B82" s="1" t="s">
        <v>231</v>
      </c>
      <c r="C82" s="1" t="s">
        <v>168</v>
      </c>
      <c r="D82" s="1" t="s">
        <v>48</v>
      </c>
      <c r="E82" s="36">
        <v>183</v>
      </c>
    </row>
    <row r="83" spans="1:5">
      <c r="A83" s="43">
        <v>46100</v>
      </c>
      <c r="B83" s="1" t="s">
        <v>113</v>
      </c>
      <c r="C83" s="1" t="s">
        <v>182</v>
      </c>
      <c r="D83" s="1" t="s">
        <v>43</v>
      </c>
      <c r="E83" s="36">
        <v>264</v>
      </c>
    </row>
    <row r="84" spans="1:5">
      <c r="A84" s="43">
        <v>46100</v>
      </c>
      <c r="B84" s="1" t="s">
        <v>124</v>
      </c>
      <c r="C84" s="1" t="s">
        <v>39</v>
      </c>
      <c r="D84" s="1" t="s">
        <v>50</v>
      </c>
      <c r="E84" s="36">
        <v>340</v>
      </c>
    </row>
    <row r="85" spans="1:5">
      <c r="A85" s="43">
        <v>46100</v>
      </c>
      <c r="B85" s="1" t="s">
        <v>11</v>
      </c>
      <c r="C85" s="1" t="s">
        <v>12</v>
      </c>
      <c r="D85" s="1" t="s">
        <v>60</v>
      </c>
      <c r="E85" s="36">
        <v>40</v>
      </c>
    </row>
    <row r="86" spans="1:5">
      <c r="A86" s="43">
        <v>46100</v>
      </c>
      <c r="B86" s="1" t="s">
        <v>11</v>
      </c>
      <c r="C86" s="1" t="s">
        <v>12</v>
      </c>
      <c r="D86" s="1" t="s">
        <v>13</v>
      </c>
      <c r="E86" s="36">
        <v>346</v>
      </c>
    </row>
    <row r="87" spans="1:5">
      <c r="A87" s="43">
        <v>46100</v>
      </c>
      <c r="B87" s="1" t="s">
        <v>316</v>
      </c>
      <c r="C87" s="1" t="s">
        <v>329</v>
      </c>
      <c r="D87" s="1" t="s">
        <v>226</v>
      </c>
      <c r="E87" s="36">
        <v>141</v>
      </c>
    </row>
    <row r="88" spans="1:5">
      <c r="A88" s="43">
        <v>46100</v>
      </c>
      <c r="B88" s="1" t="s">
        <v>161</v>
      </c>
      <c r="C88" s="1" t="s">
        <v>192</v>
      </c>
      <c r="D88" s="1" t="s">
        <v>160</v>
      </c>
      <c r="E88" s="36">
        <v>377</v>
      </c>
    </row>
    <row r="89" spans="1:5">
      <c r="A89" s="43">
        <v>46100</v>
      </c>
      <c r="B89" s="1" t="s">
        <v>229</v>
      </c>
      <c r="C89" s="1" t="s">
        <v>230</v>
      </c>
      <c r="D89" s="1" t="s">
        <v>85</v>
      </c>
      <c r="E89" s="36">
        <v>26</v>
      </c>
    </row>
    <row r="90" spans="1:5">
      <c r="A90" s="43">
        <v>46100</v>
      </c>
      <c r="B90" s="1" t="s">
        <v>229</v>
      </c>
      <c r="C90" s="1" t="s">
        <v>230</v>
      </c>
      <c r="D90" s="1" t="s">
        <v>200</v>
      </c>
      <c r="E90" s="36">
        <v>8</v>
      </c>
    </row>
    <row r="91" spans="1:5">
      <c r="A91" s="43">
        <v>46100</v>
      </c>
      <c r="B91" s="1" t="s">
        <v>205</v>
      </c>
      <c r="C91" s="1" t="s">
        <v>206</v>
      </c>
      <c r="D91" s="1" t="s">
        <v>199</v>
      </c>
      <c r="E91" s="36">
        <v>83</v>
      </c>
    </row>
    <row r="92" spans="1:5">
      <c r="A92" s="43">
        <v>46100</v>
      </c>
      <c r="B92" s="1" t="s">
        <v>194</v>
      </c>
      <c r="C92" s="1" t="s">
        <v>195</v>
      </c>
      <c r="D92" s="1" t="s">
        <v>46</v>
      </c>
      <c r="E92" s="36">
        <v>30</v>
      </c>
    </row>
    <row r="93" spans="1:5">
      <c r="A93" s="43">
        <v>46100</v>
      </c>
      <c r="B93" s="1" t="s">
        <v>194</v>
      </c>
      <c r="C93" s="1" t="s">
        <v>195</v>
      </c>
      <c r="D93" s="1" t="s">
        <v>47</v>
      </c>
      <c r="E93" s="36">
        <v>9</v>
      </c>
    </row>
    <row r="94" spans="1:5">
      <c r="A94" s="43">
        <v>46100</v>
      </c>
      <c r="B94" s="1" t="s">
        <v>194</v>
      </c>
      <c r="C94" s="1" t="s">
        <v>195</v>
      </c>
      <c r="D94" s="1" t="s">
        <v>48</v>
      </c>
      <c r="E94" s="36">
        <v>282</v>
      </c>
    </row>
    <row r="95" spans="1:5">
      <c r="A95" s="43">
        <v>46100</v>
      </c>
      <c r="B95" s="1" t="s">
        <v>331</v>
      </c>
      <c r="C95" s="1" t="s">
        <v>334</v>
      </c>
      <c r="D95" s="1" t="s">
        <v>200</v>
      </c>
      <c r="E95" s="36">
        <v>2</v>
      </c>
    </row>
    <row r="96" spans="1:5">
      <c r="A96" s="1" t="s">
        <v>567</v>
      </c>
      <c r="B96" s="1"/>
      <c r="C96" s="1"/>
      <c r="D96" s="1"/>
      <c r="E96" s="36">
        <v>9946</v>
      </c>
    </row>
    <row r="97" spans="1:5">
      <c r="A97" s="43">
        <v>46126</v>
      </c>
      <c r="B97" s="1" t="s">
        <v>143</v>
      </c>
      <c r="C97" s="1" t="s">
        <v>237</v>
      </c>
      <c r="D97" s="1" t="s">
        <v>72</v>
      </c>
      <c r="E97" s="36">
        <v>47</v>
      </c>
    </row>
    <row r="98" spans="1:5">
      <c r="A98" s="43">
        <v>46126</v>
      </c>
      <c r="B98" s="1" t="s">
        <v>143</v>
      </c>
      <c r="C98" s="1" t="s">
        <v>237</v>
      </c>
      <c r="D98" s="1" t="s">
        <v>28</v>
      </c>
      <c r="E98" s="36">
        <v>148</v>
      </c>
    </row>
    <row r="99" spans="1:5">
      <c r="A99" s="43">
        <v>46126</v>
      </c>
      <c r="B99" s="1" t="s">
        <v>143</v>
      </c>
      <c r="C99" s="1" t="s">
        <v>237</v>
      </c>
      <c r="D99" s="1" t="s">
        <v>73</v>
      </c>
      <c r="E99" s="36">
        <v>172</v>
      </c>
    </row>
    <row r="100" spans="1:5">
      <c r="A100" s="43">
        <v>46126</v>
      </c>
      <c r="B100" s="1" t="s">
        <v>143</v>
      </c>
      <c r="C100" s="1" t="s">
        <v>237</v>
      </c>
      <c r="D100" s="1" t="s">
        <v>75</v>
      </c>
      <c r="E100" s="36">
        <v>6</v>
      </c>
    </row>
    <row r="101" spans="1:5">
      <c r="A101" s="43">
        <v>46126</v>
      </c>
      <c r="B101" s="1" t="s">
        <v>143</v>
      </c>
      <c r="C101" s="1" t="s">
        <v>237</v>
      </c>
      <c r="D101" s="1" t="s">
        <v>223</v>
      </c>
      <c r="E101" s="36">
        <v>69</v>
      </c>
    </row>
    <row r="102" spans="1:5">
      <c r="A102" s="43">
        <v>46126</v>
      </c>
      <c r="B102" s="1" t="s">
        <v>143</v>
      </c>
      <c r="C102" s="1" t="s">
        <v>237</v>
      </c>
      <c r="D102" s="1" t="s">
        <v>82</v>
      </c>
      <c r="E102" s="36">
        <v>14</v>
      </c>
    </row>
    <row r="103" spans="1:5">
      <c r="A103" s="43">
        <v>46126</v>
      </c>
      <c r="B103" s="1" t="s">
        <v>143</v>
      </c>
      <c r="C103" s="1" t="s">
        <v>237</v>
      </c>
      <c r="D103" s="1" t="s">
        <v>222</v>
      </c>
      <c r="E103" s="36">
        <v>14</v>
      </c>
    </row>
    <row r="104" spans="1:5">
      <c r="A104" s="43">
        <v>46126</v>
      </c>
      <c r="B104" s="1" t="s">
        <v>144</v>
      </c>
      <c r="C104" s="1" t="s">
        <v>238</v>
      </c>
      <c r="D104" s="1" t="s">
        <v>72</v>
      </c>
      <c r="E104" s="36">
        <v>47</v>
      </c>
    </row>
    <row r="105" spans="1:5">
      <c r="A105" s="43">
        <v>46126</v>
      </c>
      <c r="B105" s="1" t="s">
        <v>144</v>
      </c>
      <c r="C105" s="1" t="s">
        <v>238</v>
      </c>
      <c r="D105" s="1" t="s">
        <v>28</v>
      </c>
      <c r="E105" s="36">
        <v>148</v>
      </c>
    </row>
    <row r="106" spans="1:5">
      <c r="A106" s="43">
        <v>46126</v>
      </c>
      <c r="B106" s="1" t="s">
        <v>144</v>
      </c>
      <c r="C106" s="1" t="s">
        <v>238</v>
      </c>
      <c r="D106" s="1" t="s">
        <v>73</v>
      </c>
      <c r="E106" s="36">
        <v>172</v>
      </c>
    </row>
    <row r="107" spans="1:5">
      <c r="A107" s="43">
        <v>46126</v>
      </c>
      <c r="B107" s="1" t="s">
        <v>144</v>
      </c>
      <c r="C107" s="1" t="s">
        <v>238</v>
      </c>
      <c r="D107" s="1" t="s">
        <v>75</v>
      </c>
      <c r="E107" s="36">
        <v>6</v>
      </c>
    </row>
    <row r="108" spans="1:5">
      <c r="A108" s="43">
        <v>46126</v>
      </c>
      <c r="B108" s="1" t="s">
        <v>144</v>
      </c>
      <c r="C108" s="1" t="s">
        <v>238</v>
      </c>
      <c r="D108" s="1" t="s">
        <v>223</v>
      </c>
      <c r="E108" s="36">
        <v>69</v>
      </c>
    </row>
    <row r="109" spans="1:5">
      <c r="A109" s="43">
        <v>46126</v>
      </c>
      <c r="B109" s="1" t="s">
        <v>144</v>
      </c>
      <c r="C109" s="1" t="s">
        <v>238</v>
      </c>
      <c r="D109" s="1" t="s">
        <v>82</v>
      </c>
      <c r="E109" s="36">
        <v>14</v>
      </c>
    </row>
    <row r="110" spans="1:5">
      <c r="A110" s="43">
        <v>46126</v>
      </c>
      <c r="B110" s="1" t="s">
        <v>144</v>
      </c>
      <c r="C110" s="1" t="s">
        <v>238</v>
      </c>
      <c r="D110" s="1" t="s">
        <v>222</v>
      </c>
      <c r="E110" s="36">
        <v>14</v>
      </c>
    </row>
    <row r="111" spans="1:5">
      <c r="A111" s="1" t="s">
        <v>568</v>
      </c>
      <c r="B111" s="1"/>
      <c r="C111" s="1"/>
      <c r="D111" s="1"/>
      <c r="E111" s="36">
        <v>940</v>
      </c>
    </row>
    <row r="112" spans="1:5">
      <c r="A112" s="43">
        <v>46127</v>
      </c>
      <c r="B112" s="1" t="s">
        <v>15</v>
      </c>
      <c r="C112" s="1" t="s">
        <v>16</v>
      </c>
      <c r="D112" s="1" t="s">
        <v>57</v>
      </c>
      <c r="E112" s="36">
        <v>106</v>
      </c>
    </row>
    <row r="113" spans="1:5">
      <c r="A113" s="43">
        <v>46127</v>
      </c>
      <c r="B113" s="1" t="s">
        <v>15</v>
      </c>
      <c r="C113" s="1" t="s">
        <v>16</v>
      </c>
      <c r="D113" s="1" t="s">
        <v>10</v>
      </c>
      <c r="E113" s="36">
        <v>4536</v>
      </c>
    </row>
    <row r="114" spans="1:5">
      <c r="A114" s="43">
        <v>46127</v>
      </c>
      <c r="B114" s="1" t="s">
        <v>124</v>
      </c>
      <c r="C114" s="1" t="s">
        <v>39</v>
      </c>
      <c r="D114" s="1" t="s">
        <v>50</v>
      </c>
      <c r="E114" s="36">
        <v>1405</v>
      </c>
    </row>
    <row r="115" spans="1:5">
      <c r="A115" s="43">
        <v>46127</v>
      </c>
      <c r="B115" s="1" t="s">
        <v>119</v>
      </c>
      <c r="C115" s="1" t="s">
        <v>9</v>
      </c>
      <c r="D115" s="1" t="s">
        <v>57</v>
      </c>
      <c r="E115" s="36">
        <v>53</v>
      </c>
    </row>
    <row r="116" spans="1:5">
      <c r="A116" s="43">
        <v>46127</v>
      </c>
      <c r="B116" s="1" t="s">
        <v>8</v>
      </c>
      <c r="C116" s="1" t="s">
        <v>9</v>
      </c>
      <c r="D116" s="1" t="s">
        <v>10</v>
      </c>
      <c r="E116" s="36">
        <v>2268</v>
      </c>
    </row>
    <row r="117" spans="1:5">
      <c r="A117" s="1" t="s">
        <v>569</v>
      </c>
      <c r="B117" s="1"/>
      <c r="C117" s="1"/>
      <c r="D117" s="1"/>
      <c r="E117" s="36">
        <v>8368</v>
      </c>
    </row>
    <row r="118" spans="1:5">
      <c r="A118" s="43">
        <v>46129</v>
      </c>
      <c r="B118" s="1" t="s">
        <v>458</v>
      </c>
      <c r="C118" s="1" t="s">
        <v>459</v>
      </c>
      <c r="D118" s="1" t="s">
        <v>137</v>
      </c>
      <c r="E118" s="36">
        <v>12</v>
      </c>
    </row>
    <row r="119" spans="1:5">
      <c r="A119" s="1" t="s">
        <v>570</v>
      </c>
      <c r="B119" s="1"/>
      <c r="C119" s="1"/>
      <c r="D119" s="1"/>
      <c r="E119" s="36">
        <v>12</v>
      </c>
    </row>
    <row r="120" spans="1:5">
      <c r="A120" s="43">
        <v>46139</v>
      </c>
      <c r="B120" s="1" t="s">
        <v>113</v>
      </c>
      <c r="C120" s="1" t="s">
        <v>182</v>
      </c>
      <c r="D120" s="1" t="s">
        <v>42</v>
      </c>
      <c r="E120" s="36">
        <v>485</v>
      </c>
    </row>
    <row r="121" spans="1:5">
      <c r="A121" s="43">
        <v>46139</v>
      </c>
      <c r="B121" s="1" t="s">
        <v>113</v>
      </c>
      <c r="C121" s="1" t="s">
        <v>182</v>
      </c>
      <c r="D121" s="1" t="s">
        <v>43</v>
      </c>
      <c r="E121" s="36">
        <v>2360</v>
      </c>
    </row>
    <row r="122" spans="1:5">
      <c r="A122" s="1" t="s">
        <v>571</v>
      </c>
      <c r="B122" s="1"/>
      <c r="C122" s="1"/>
      <c r="D122" s="1"/>
      <c r="E122" s="36">
        <v>2845</v>
      </c>
    </row>
    <row r="123" spans="1:5">
      <c r="A123" s="43">
        <v>46153</v>
      </c>
      <c r="B123" s="1" t="s">
        <v>123</v>
      </c>
      <c r="C123" s="1" t="s">
        <v>183</v>
      </c>
      <c r="D123" s="1" t="s">
        <v>86</v>
      </c>
      <c r="E123" s="36">
        <v>200</v>
      </c>
    </row>
    <row r="124" spans="1:5">
      <c r="A124" s="43">
        <v>46153</v>
      </c>
      <c r="B124" s="1" t="s">
        <v>37</v>
      </c>
      <c r="C124" s="1" t="s">
        <v>38</v>
      </c>
      <c r="D124" s="1" t="s">
        <v>26</v>
      </c>
      <c r="E124" s="36">
        <v>19</v>
      </c>
    </row>
    <row r="125" spans="1:5">
      <c r="A125" s="43">
        <v>46153</v>
      </c>
      <c r="B125" s="1" t="s">
        <v>125</v>
      </c>
      <c r="C125" s="1" t="s">
        <v>184</v>
      </c>
      <c r="D125" s="1" t="s">
        <v>90</v>
      </c>
      <c r="E125" s="36">
        <v>1390</v>
      </c>
    </row>
    <row r="126" spans="1:5">
      <c r="A126" s="43">
        <v>46153</v>
      </c>
      <c r="B126" s="1" t="s">
        <v>29</v>
      </c>
      <c r="C126" s="1" t="s">
        <v>30</v>
      </c>
      <c r="D126" s="1" t="s">
        <v>142</v>
      </c>
      <c r="E126" s="36">
        <v>17</v>
      </c>
    </row>
    <row r="127" spans="1:5">
      <c r="A127" s="43">
        <v>46153</v>
      </c>
      <c r="B127" s="1" t="s">
        <v>29</v>
      </c>
      <c r="C127" s="1" t="s">
        <v>30</v>
      </c>
      <c r="D127" s="1" t="s">
        <v>17</v>
      </c>
      <c r="E127" s="36">
        <v>119</v>
      </c>
    </row>
    <row r="128" spans="1:5">
      <c r="A128" s="43">
        <v>46153</v>
      </c>
      <c r="B128" s="1" t="s">
        <v>163</v>
      </c>
      <c r="C128" s="1" t="s">
        <v>188</v>
      </c>
      <c r="D128" s="1" t="s">
        <v>138</v>
      </c>
      <c r="E128" s="36">
        <v>1</v>
      </c>
    </row>
    <row r="129" spans="1:5">
      <c r="A129" s="43">
        <v>46153</v>
      </c>
      <c r="B129" s="1" t="s">
        <v>318</v>
      </c>
      <c r="C129" s="1" t="s">
        <v>189</v>
      </c>
      <c r="D129" s="1" t="s">
        <v>137</v>
      </c>
      <c r="E129" s="36">
        <v>6</v>
      </c>
    </row>
    <row r="130" spans="1:5">
      <c r="A130" s="43">
        <v>46153</v>
      </c>
      <c r="B130" s="1" t="s">
        <v>317</v>
      </c>
      <c r="C130" s="1" t="s">
        <v>184</v>
      </c>
      <c r="D130" s="1" t="s">
        <v>141</v>
      </c>
      <c r="E130" s="36">
        <v>397</v>
      </c>
    </row>
    <row r="131" spans="1:5">
      <c r="A131" s="43">
        <v>46153</v>
      </c>
      <c r="B131" s="1" t="s">
        <v>330</v>
      </c>
      <c r="C131" s="1" t="s">
        <v>30</v>
      </c>
      <c r="D131" s="1" t="s">
        <v>93</v>
      </c>
      <c r="E131" s="36">
        <v>250</v>
      </c>
    </row>
    <row r="132" spans="1:5">
      <c r="A132" s="43">
        <v>46153</v>
      </c>
      <c r="B132" s="1" t="s">
        <v>235</v>
      </c>
      <c r="C132" s="1" t="s">
        <v>188</v>
      </c>
      <c r="D132" s="1" t="s">
        <v>139</v>
      </c>
      <c r="E132" s="36">
        <v>22</v>
      </c>
    </row>
    <row r="133" spans="1:5">
      <c r="A133" s="43">
        <v>46153</v>
      </c>
      <c r="B133" s="1" t="s">
        <v>236</v>
      </c>
      <c r="C133" s="1" t="s">
        <v>38</v>
      </c>
      <c r="D133" s="1" t="s">
        <v>95</v>
      </c>
      <c r="E133" s="36">
        <v>272</v>
      </c>
    </row>
    <row r="134" spans="1:5">
      <c r="A134" s="43">
        <v>46153</v>
      </c>
      <c r="B134" s="1" t="s">
        <v>115</v>
      </c>
      <c r="C134" s="1" t="s">
        <v>168</v>
      </c>
      <c r="D134" s="1" t="s">
        <v>46</v>
      </c>
      <c r="E134" s="36">
        <v>108</v>
      </c>
    </row>
    <row r="135" spans="1:5">
      <c r="A135" s="43">
        <v>46153</v>
      </c>
      <c r="B135" s="1" t="s">
        <v>115</v>
      </c>
      <c r="C135" s="1" t="s">
        <v>168</v>
      </c>
      <c r="D135" s="1" t="s">
        <v>47</v>
      </c>
      <c r="E135" s="36">
        <v>20</v>
      </c>
    </row>
    <row r="136" spans="1:5">
      <c r="A136" s="43">
        <v>46153</v>
      </c>
      <c r="B136" s="1" t="s">
        <v>303</v>
      </c>
      <c r="C136" s="1" t="s">
        <v>182</v>
      </c>
      <c r="D136" s="1" t="s">
        <v>97</v>
      </c>
      <c r="E136" s="36">
        <v>185</v>
      </c>
    </row>
    <row r="137" spans="1:5">
      <c r="A137" s="43">
        <v>46153</v>
      </c>
      <c r="B137" s="1" t="s">
        <v>113</v>
      </c>
      <c r="C137" s="1" t="s">
        <v>182</v>
      </c>
      <c r="D137" s="1" t="s">
        <v>43</v>
      </c>
      <c r="E137" s="36">
        <v>500</v>
      </c>
    </row>
    <row r="138" spans="1:5">
      <c r="A138" s="43">
        <v>46153</v>
      </c>
      <c r="B138" s="1" t="s">
        <v>35</v>
      </c>
      <c r="C138" s="1" t="s">
        <v>36</v>
      </c>
      <c r="D138" s="1" t="s">
        <v>25</v>
      </c>
      <c r="E138" s="36">
        <v>880</v>
      </c>
    </row>
    <row r="139" spans="1:5">
      <c r="A139" s="43">
        <v>46153</v>
      </c>
      <c r="B139" s="1" t="s">
        <v>205</v>
      </c>
      <c r="C139" s="1" t="s">
        <v>206</v>
      </c>
      <c r="D139" s="1" t="s">
        <v>199</v>
      </c>
      <c r="E139" s="36">
        <v>715</v>
      </c>
    </row>
    <row r="140" spans="1:5">
      <c r="A140" s="43">
        <v>46153</v>
      </c>
      <c r="B140" s="1" t="s">
        <v>143</v>
      </c>
      <c r="C140" s="1" t="s">
        <v>237</v>
      </c>
      <c r="D140" s="1" t="s">
        <v>20</v>
      </c>
      <c r="E140" s="36">
        <v>80</v>
      </c>
    </row>
    <row r="141" spans="1:5">
      <c r="A141" s="43">
        <v>46153</v>
      </c>
      <c r="B141" s="1" t="s">
        <v>143</v>
      </c>
      <c r="C141" s="1" t="s">
        <v>237</v>
      </c>
      <c r="D141" s="1" t="s">
        <v>22</v>
      </c>
      <c r="E141" s="36">
        <v>229</v>
      </c>
    </row>
    <row r="142" spans="1:5">
      <c r="A142" s="43">
        <v>46153</v>
      </c>
      <c r="B142" s="1" t="s">
        <v>143</v>
      </c>
      <c r="C142" s="1" t="s">
        <v>237</v>
      </c>
      <c r="D142" s="1" t="s">
        <v>72</v>
      </c>
      <c r="E142" s="36">
        <v>457</v>
      </c>
    </row>
    <row r="143" spans="1:5">
      <c r="A143" s="43">
        <v>46153</v>
      </c>
      <c r="B143" s="1" t="s">
        <v>143</v>
      </c>
      <c r="C143" s="1" t="s">
        <v>237</v>
      </c>
      <c r="D143" s="1" t="s">
        <v>28</v>
      </c>
      <c r="E143" s="36">
        <v>98</v>
      </c>
    </row>
    <row r="144" spans="1:5">
      <c r="A144" s="43">
        <v>46153</v>
      </c>
      <c r="B144" s="1" t="s">
        <v>143</v>
      </c>
      <c r="C144" s="1" t="s">
        <v>237</v>
      </c>
      <c r="D144" s="1" t="s">
        <v>19</v>
      </c>
      <c r="E144" s="36">
        <v>87</v>
      </c>
    </row>
    <row r="145" spans="1:5">
      <c r="A145" s="43">
        <v>46153</v>
      </c>
      <c r="B145" s="1" t="s">
        <v>143</v>
      </c>
      <c r="C145" s="1" t="s">
        <v>237</v>
      </c>
      <c r="D145" s="1" t="s">
        <v>73</v>
      </c>
      <c r="E145" s="36">
        <v>513</v>
      </c>
    </row>
    <row r="146" spans="1:5">
      <c r="A146" s="43">
        <v>46153</v>
      </c>
      <c r="B146" s="1" t="s">
        <v>143</v>
      </c>
      <c r="C146" s="1" t="s">
        <v>237</v>
      </c>
      <c r="D146" s="1" t="s">
        <v>75</v>
      </c>
      <c r="E146" s="36">
        <v>232</v>
      </c>
    </row>
    <row r="147" spans="1:5">
      <c r="A147" s="43">
        <v>46153</v>
      </c>
      <c r="B147" s="1" t="s">
        <v>143</v>
      </c>
      <c r="C147" s="1" t="s">
        <v>237</v>
      </c>
      <c r="D147" s="1" t="s">
        <v>223</v>
      </c>
      <c r="E147" s="36">
        <v>22</v>
      </c>
    </row>
    <row r="148" spans="1:5">
      <c r="A148" s="43">
        <v>46153</v>
      </c>
      <c r="B148" s="1" t="s">
        <v>143</v>
      </c>
      <c r="C148" s="1" t="s">
        <v>237</v>
      </c>
      <c r="D148" s="1" t="s">
        <v>82</v>
      </c>
      <c r="E148" s="36">
        <v>24</v>
      </c>
    </row>
    <row r="149" spans="1:5">
      <c r="A149" s="43">
        <v>46153</v>
      </c>
      <c r="B149" s="1" t="s">
        <v>143</v>
      </c>
      <c r="C149" s="1" t="s">
        <v>237</v>
      </c>
      <c r="D149" s="1" t="s">
        <v>222</v>
      </c>
      <c r="E149" s="36">
        <v>72</v>
      </c>
    </row>
    <row r="150" spans="1:5">
      <c r="A150" s="43">
        <v>46153</v>
      </c>
      <c r="B150" s="1" t="s">
        <v>144</v>
      </c>
      <c r="C150" s="1" t="s">
        <v>238</v>
      </c>
      <c r="D150" s="1" t="s">
        <v>20</v>
      </c>
      <c r="E150" s="36">
        <v>80</v>
      </c>
    </row>
    <row r="151" spans="1:5">
      <c r="A151" s="43">
        <v>46153</v>
      </c>
      <c r="B151" s="1" t="s">
        <v>144</v>
      </c>
      <c r="C151" s="1" t="s">
        <v>238</v>
      </c>
      <c r="D151" s="1" t="s">
        <v>22</v>
      </c>
      <c r="E151" s="36">
        <v>229</v>
      </c>
    </row>
    <row r="152" spans="1:5">
      <c r="A152" s="43">
        <v>46153</v>
      </c>
      <c r="B152" s="1" t="s">
        <v>144</v>
      </c>
      <c r="C152" s="1" t="s">
        <v>238</v>
      </c>
      <c r="D152" s="1" t="s">
        <v>72</v>
      </c>
      <c r="E152" s="36">
        <v>457</v>
      </c>
    </row>
    <row r="153" spans="1:5">
      <c r="A153" s="43">
        <v>46153</v>
      </c>
      <c r="B153" s="1" t="s">
        <v>144</v>
      </c>
      <c r="C153" s="1" t="s">
        <v>238</v>
      </c>
      <c r="D153" s="1" t="s">
        <v>28</v>
      </c>
      <c r="E153" s="36">
        <v>98</v>
      </c>
    </row>
    <row r="154" spans="1:5">
      <c r="A154" s="43">
        <v>46153</v>
      </c>
      <c r="B154" s="1" t="s">
        <v>144</v>
      </c>
      <c r="C154" s="1" t="s">
        <v>238</v>
      </c>
      <c r="D154" s="1" t="s">
        <v>19</v>
      </c>
      <c r="E154" s="36">
        <v>87</v>
      </c>
    </row>
    <row r="155" spans="1:5">
      <c r="A155" s="43">
        <v>46153</v>
      </c>
      <c r="B155" s="1" t="s">
        <v>144</v>
      </c>
      <c r="C155" s="1" t="s">
        <v>238</v>
      </c>
      <c r="D155" s="1" t="s">
        <v>73</v>
      </c>
      <c r="E155" s="36">
        <v>513</v>
      </c>
    </row>
    <row r="156" spans="1:5">
      <c r="A156" s="43">
        <v>46153</v>
      </c>
      <c r="B156" s="1" t="s">
        <v>144</v>
      </c>
      <c r="C156" s="1" t="s">
        <v>238</v>
      </c>
      <c r="D156" s="1" t="s">
        <v>75</v>
      </c>
      <c r="E156" s="36">
        <v>232</v>
      </c>
    </row>
    <row r="157" spans="1:5">
      <c r="A157" s="43">
        <v>46153</v>
      </c>
      <c r="B157" s="1" t="s">
        <v>144</v>
      </c>
      <c r="C157" s="1" t="s">
        <v>238</v>
      </c>
      <c r="D157" s="1" t="s">
        <v>223</v>
      </c>
      <c r="E157" s="36">
        <v>22</v>
      </c>
    </row>
    <row r="158" spans="1:5">
      <c r="A158" s="43">
        <v>46153</v>
      </c>
      <c r="B158" s="1" t="s">
        <v>144</v>
      </c>
      <c r="C158" s="1" t="s">
        <v>238</v>
      </c>
      <c r="D158" s="1" t="s">
        <v>82</v>
      </c>
      <c r="E158" s="36">
        <v>24</v>
      </c>
    </row>
    <row r="159" spans="1:5">
      <c r="A159" s="43">
        <v>46153</v>
      </c>
      <c r="B159" s="1" t="s">
        <v>144</v>
      </c>
      <c r="C159" s="1" t="s">
        <v>238</v>
      </c>
      <c r="D159" s="1" t="s">
        <v>222</v>
      </c>
      <c r="E159" s="36">
        <v>72</v>
      </c>
    </row>
    <row r="160" spans="1:5">
      <c r="A160" s="43">
        <v>46153</v>
      </c>
      <c r="B160" s="1" t="s">
        <v>302</v>
      </c>
      <c r="C160" s="1" t="s">
        <v>320</v>
      </c>
      <c r="D160" s="1" t="s">
        <v>96</v>
      </c>
      <c r="E160" s="36">
        <v>204</v>
      </c>
    </row>
    <row r="161" spans="1:5">
      <c r="A161" s="1" t="s">
        <v>572</v>
      </c>
      <c r="B161" s="1"/>
      <c r="C161" s="1"/>
      <c r="D161" s="1"/>
      <c r="E161" s="36">
        <v>8933</v>
      </c>
    </row>
    <row r="162" spans="1:5">
      <c r="A162" s="43">
        <v>46167</v>
      </c>
      <c r="B162" s="1" t="s">
        <v>509</v>
      </c>
      <c r="C162" s="1" t="s">
        <v>33</v>
      </c>
      <c r="D162" s="1" t="s">
        <v>24</v>
      </c>
      <c r="E162" s="36">
        <v>2000</v>
      </c>
    </row>
    <row r="163" spans="1:5">
      <c r="A163" s="1" t="s">
        <v>573</v>
      </c>
      <c r="B163" s="1"/>
      <c r="C163" s="1"/>
      <c r="D163" s="1"/>
      <c r="E163" s="36">
        <v>2000</v>
      </c>
    </row>
    <row r="164" spans="1:5">
      <c r="A164" s="43">
        <v>46188</v>
      </c>
      <c r="B164" s="1" t="s">
        <v>449</v>
      </c>
      <c r="C164" s="1" t="s">
        <v>451</v>
      </c>
      <c r="D164" s="1" t="s">
        <v>23</v>
      </c>
      <c r="E164" s="36">
        <v>400</v>
      </c>
    </row>
    <row r="165" spans="1:5">
      <c r="A165" s="43">
        <v>46188</v>
      </c>
      <c r="B165" s="1" t="s">
        <v>509</v>
      </c>
      <c r="C165" s="1" t="s">
        <v>33</v>
      </c>
      <c r="D165" s="1" t="s">
        <v>24</v>
      </c>
      <c r="E165" s="36">
        <v>900</v>
      </c>
    </row>
    <row r="166" spans="1:5">
      <c r="A166" s="43">
        <v>46188</v>
      </c>
      <c r="B166" s="1" t="s">
        <v>31</v>
      </c>
      <c r="C166" s="1" t="s">
        <v>32</v>
      </c>
      <c r="D166" s="1" t="s">
        <v>23</v>
      </c>
      <c r="E166" s="36">
        <v>400</v>
      </c>
    </row>
    <row r="167" spans="1:5">
      <c r="A167" s="1" t="s">
        <v>574</v>
      </c>
      <c r="B167" s="1"/>
      <c r="C167" s="1"/>
      <c r="D167" s="1"/>
      <c r="E167" s="36">
        <v>1700</v>
      </c>
    </row>
    <row r="168" spans="1:5">
      <c r="A168" s="43">
        <v>46198</v>
      </c>
      <c r="B168" s="1" t="s">
        <v>305</v>
      </c>
      <c r="C168" s="1" t="s">
        <v>39</v>
      </c>
      <c r="D168" s="1" t="s">
        <v>27</v>
      </c>
      <c r="E168" s="36">
        <v>310</v>
      </c>
    </row>
    <row r="169" spans="1:5">
      <c r="A169" s="43">
        <v>46198</v>
      </c>
      <c r="B169" s="1" t="s">
        <v>305</v>
      </c>
      <c r="C169" s="1" t="s">
        <v>39</v>
      </c>
      <c r="D169" s="1" t="s">
        <v>49</v>
      </c>
      <c r="E169" s="36">
        <v>262</v>
      </c>
    </row>
    <row r="170" spans="1:5">
      <c r="A170" s="43">
        <v>46198</v>
      </c>
      <c r="B170" s="1" t="s">
        <v>305</v>
      </c>
      <c r="C170" s="1" t="s">
        <v>39</v>
      </c>
      <c r="D170" s="1" t="s">
        <v>99</v>
      </c>
      <c r="E170" s="36">
        <v>19</v>
      </c>
    </row>
    <row r="171" spans="1:5">
      <c r="A171" s="43">
        <v>46198</v>
      </c>
      <c r="B171" s="1" t="s">
        <v>305</v>
      </c>
      <c r="C171" s="1" t="s">
        <v>39</v>
      </c>
      <c r="D171" s="1" t="s">
        <v>50</v>
      </c>
      <c r="E171" s="36">
        <v>1221</v>
      </c>
    </row>
    <row r="172" spans="1:5">
      <c r="A172" s="43">
        <v>46198</v>
      </c>
      <c r="B172" s="1" t="s">
        <v>124</v>
      </c>
      <c r="C172" s="1" t="s">
        <v>39</v>
      </c>
      <c r="D172" s="1" t="s">
        <v>27</v>
      </c>
      <c r="E172" s="36">
        <v>357</v>
      </c>
    </row>
    <row r="173" spans="1:5">
      <c r="A173" s="43">
        <v>46198</v>
      </c>
      <c r="B173" s="1" t="s">
        <v>124</v>
      </c>
      <c r="C173" s="1" t="s">
        <v>39</v>
      </c>
      <c r="D173" s="1" t="s">
        <v>49</v>
      </c>
      <c r="E173" s="36">
        <v>2</v>
      </c>
    </row>
    <row r="174" spans="1:5">
      <c r="A174" s="43">
        <v>46198</v>
      </c>
      <c r="B174" s="1" t="s">
        <v>124</v>
      </c>
      <c r="C174" s="1" t="s">
        <v>39</v>
      </c>
      <c r="D174" s="1" t="s">
        <v>99</v>
      </c>
      <c r="E174" s="36">
        <v>13</v>
      </c>
    </row>
    <row r="175" spans="1:5">
      <c r="A175" s="43">
        <v>46198</v>
      </c>
      <c r="B175" s="1" t="s">
        <v>124</v>
      </c>
      <c r="C175" s="1" t="s">
        <v>39</v>
      </c>
      <c r="D175" s="1" t="s">
        <v>50</v>
      </c>
      <c r="E175" s="36">
        <v>866</v>
      </c>
    </row>
    <row r="176" spans="1:5">
      <c r="A176" s="1" t="s">
        <v>575</v>
      </c>
      <c r="B176" s="1"/>
      <c r="C176" s="1"/>
      <c r="D176" s="1"/>
      <c r="E176" s="36">
        <v>3050</v>
      </c>
    </row>
    <row r="177" spans="1:5">
      <c r="A177" s="43">
        <v>46211</v>
      </c>
      <c r="B177" s="1" t="s">
        <v>489</v>
      </c>
      <c r="C177" s="1" t="s">
        <v>490</v>
      </c>
      <c r="D177" s="1" t="s">
        <v>24</v>
      </c>
      <c r="E177" s="36">
        <v>4500</v>
      </c>
    </row>
    <row r="178" spans="1:5">
      <c r="A178" s="1" t="s">
        <v>576</v>
      </c>
      <c r="B178" s="1"/>
      <c r="C178" s="1"/>
      <c r="D178" s="1"/>
      <c r="E178" s="36">
        <v>4500</v>
      </c>
    </row>
    <row r="179" spans="1:5">
      <c r="A179" s="54">
        <v>46232</v>
      </c>
      <c r="B179" s="1" t="s">
        <v>202</v>
      </c>
      <c r="C179" s="1" t="s">
        <v>203</v>
      </c>
      <c r="D179" s="1" t="s">
        <v>160</v>
      </c>
      <c r="E179" s="36">
        <v>32</v>
      </c>
    </row>
    <row r="180" spans="1:5">
      <c r="A180" s="54">
        <v>46232</v>
      </c>
      <c r="B180" s="1" t="s">
        <v>120</v>
      </c>
      <c r="C180" s="1" t="s">
        <v>185</v>
      </c>
      <c r="D180" s="1" t="s">
        <v>101</v>
      </c>
      <c r="E180" s="36">
        <v>4</v>
      </c>
    </row>
    <row r="181" spans="1:5">
      <c r="A181" s="54">
        <v>46232</v>
      </c>
      <c r="B181" s="1" t="s">
        <v>120</v>
      </c>
      <c r="C181" s="1" t="s">
        <v>185</v>
      </c>
      <c r="D181" s="1" t="s">
        <v>65</v>
      </c>
      <c r="E181" s="36">
        <v>38</v>
      </c>
    </row>
    <row r="182" spans="1:5">
      <c r="A182" s="54">
        <v>46232</v>
      </c>
      <c r="B182" s="1" t="s">
        <v>231</v>
      </c>
      <c r="C182" s="1" t="s">
        <v>168</v>
      </c>
      <c r="D182" s="1" t="s">
        <v>48</v>
      </c>
      <c r="E182" s="36">
        <v>511</v>
      </c>
    </row>
    <row r="183" spans="1:5">
      <c r="A183" s="54">
        <v>46232</v>
      </c>
      <c r="B183" s="1" t="s">
        <v>35</v>
      </c>
      <c r="C183" s="1" t="s">
        <v>36</v>
      </c>
      <c r="D183" s="1" t="s">
        <v>70</v>
      </c>
      <c r="E183" s="36">
        <v>221</v>
      </c>
    </row>
    <row r="184" spans="1:5">
      <c r="A184" s="54">
        <v>46232</v>
      </c>
      <c r="B184" s="1" t="s">
        <v>35</v>
      </c>
      <c r="C184" s="1" t="s">
        <v>36</v>
      </c>
      <c r="D184" s="1" t="s">
        <v>25</v>
      </c>
      <c r="E184" s="36">
        <v>849</v>
      </c>
    </row>
    <row r="185" spans="1:5">
      <c r="A185" s="54">
        <v>46232</v>
      </c>
      <c r="B185" s="1" t="s">
        <v>161</v>
      </c>
      <c r="C185" s="1" t="s">
        <v>192</v>
      </c>
      <c r="D185" s="1" t="s">
        <v>160</v>
      </c>
      <c r="E185" s="36">
        <v>16</v>
      </c>
    </row>
    <row r="186" spans="1:5">
      <c r="A186" s="54">
        <v>46232</v>
      </c>
      <c r="B186" s="1" t="s">
        <v>501</v>
      </c>
      <c r="C186" s="1" t="s">
        <v>502</v>
      </c>
      <c r="D186" s="1" t="s">
        <v>349</v>
      </c>
      <c r="E186" s="36">
        <v>150</v>
      </c>
    </row>
    <row r="187" spans="1:5">
      <c r="A187" s="54">
        <v>46232</v>
      </c>
      <c r="B187" s="1" t="s">
        <v>127</v>
      </c>
      <c r="C187" s="1" t="s">
        <v>177</v>
      </c>
      <c r="D187" s="1" t="s">
        <v>102</v>
      </c>
      <c r="E187" s="36">
        <v>10</v>
      </c>
    </row>
    <row r="188" spans="1:5">
      <c r="A188" s="54">
        <v>46232</v>
      </c>
      <c r="B188" s="1" t="s">
        <v>127</v>
      </c>
      <c r="C188" s="1" t="s">
        <v>177</v>
      </c>
      <c r="D188" s="1" t="s">
        <v>103</v>
      </c>
      <c r="E188" s="36">
        <v>2</v>
      </c>
    </row>
    <row r="189" spans="1:5">
      <c r="A189" s="54">
        <v>46232</v>
      </c>
      <c r="B189" s="1" t="s">
        <v>210</v>
      </c>
      <c r="C189" s="1" t="s">
        <v>211</v>
      </c>
      <c r="D189" s="1" t="s">
        <v>101</v>
      </c>
      <c r="E189" s="36">
        <v>1</v>
      </c>
    </row>
    <row r="190" spans="1:5">
      <c r="A190" s="54">
        <v>46232</v>
      </c>
      <c r="B190" s="1" t="s">
        <v>210</v>
      </c>
      <c r="C190" s="1" t="s">
        <v>211</v>
      </c>
      <c r="D190" s="1" t="s">
        <v>63</v>
      </c>
      <c r="E190" s="36">
        <v>5</v>
      </c>
    </row>
    <row r="191" spans="1:5">
      <c r="A191" s="54">
        <v>46232</v>
      </c>
      <c r="B191" s="1" t="s">
        <v>210</v>
      </c>
      <c r="C191" s="1" t="s">
        <v>211</v>
      </c>
      <c r="D191" s="1" t="s">
        <v>65</v>
      </c>
      <c r="E191" s="36">
        <v>10</v>
      </c>
    </row>
    <row r="192" spans="1:5">
      <c r="A192" s="54">
        <v>46232</v>
      </c>
      <c r="B192" s="1" t="s">
        <v>210</v>
      </c>
      <c r="C192" s="1" t="s">
        <v>211</v>
      </c>
      <c r="D192" s="1" t="s">
        <v>234</v>
      </c>
      <c r="E192" s="36">
        <v>12</v>
      </c>
    </row>
    <row r="193" spans="1:5">
      <c r="A193" s="54">
        <v>46232</v>
      </c>
      <c r="B193" s="1" t="s">
        <v>210</v>
      </c>
      <c r="C193" s="1" t="s">
        <v>211</v>
      </c>
      <c r="D193" s="1" t="s">
        <v>102</v>
      </c>
      <c r="E193" s="36">
        <v>3</v>
      </c>
    </row>
    <row r="194" spans="1:5">
      <c r="A194" s="54">
        <v>46232</v>
      </c>
      <c r="B194" s="1" t="s">
        <v>210</v>
      </c>
      <c r="C194" s="1" t="s">
        <v>211</v>
      </c>
      <c r="D194" s="1" t="s">
        <v>103</v>
      </c>
      <c r="E194" s="36">
        <v>2</v>
      </c>
    </row>
    <row r="195" spans="1:5">
      <c r="A195" s="54">
        <v>46232</v>
      </c>
      <c r="B195" s="1" t="s">
        <v>210</v>
      </c>
      <c r="C195" s="1" t="s">
        <v>211</v>
      </c>
      <c r="D195" s="1" t="s">
        <v>104</v>
      </c>
      <c r="E195" s="36">
        <v>10</v>
      </c>
    </row>
    <row r="196" spans="1:5">
      <c r="A196" s="54">
        <v>46232</v>
      </c>
      <c r="B196" s="1" t="s">
        <v>210</v>
      </c>
      <c r="C196" s="1" t="s">
        <v>211</v>
      </c>
      <c r="D196" s="1" t="s">
        <v>68</v>
      </c>
      <c r="E196" s="36">
        <v>21</v>
      </c>
    </row>
    <row r="197" spans="1:5">
      <c r="A197" s="56" t="s">
        <v>541</v>
      </c>
      <c r="B197" s="56"/>
      <c r="C197" s="56"/>
      <c r="D197" s="56"/>
      <c r="E197" s="36">
        <v>1897</v>
      </c>
    </row>
    <row r="198" spans="1:5">
      <c r="A198" s="54">
        <v>46233</v>
      </c>
      <c r="B198" s="1" t="s">
        <v>152</v>
      </c>
      <c r="C198" s="1" t="s">
        <v>190</v>
      </c>
      <c r="D198" s="1" t="s">
        <v>19</v>
      </c>
      <c r="E198" s="36">
        <v>41</v>
      </c>
    </row>
    <row r="199" spans="1:5">
      <c r="A199" s="54">
        <v>46233</v>
      </c>
      <c r="B199" s="1" t="s">
        <v>152</v>
      </c>
      <c r="C199" s="1" t="s">
        <v>190</v>
      </c>
      <c r="D199" s="1" t="s">
        <v>73</v>
      </c>
      <c r="E199" s="36">
        <v>57</v>
      </c>
    </row>
    <row r="200" spans="1:5">
      <c r="A200" s="54">
        <v>46233</v>
      </c>
      <c r="B200" s="1" t="s">
        <v>153</v>
      </c>
      <c r="C200" s="1" t="s">
        <v>154</v>
      </c>
      <c r="D200" s="1" t="s">
        <v>18</v>
      </c>
      <c r="E200" s="36">
        <v>1</v>
      </c>
    </row>
    <row r="201" spans="1:5">
      <c r="A201" s="54">
        <v>46233</v>
      </c>
      <c r="B201" s="1" t="s">
        <v>153</v>
      </c>
      <c r="C201" s="1" t="s">
        <v>154</v>
      </c>
      <c r="D201" s="1" t="s">
        <v>76</v>
      </c>
      <c r="E201" s="36">
        <v>26</v>
      </c>
    </row>
    <row r="202" spans="1:5">
      <c r="A202" s="54">
        <v>46233</v>
      </c>
      <c r="B202" s="1" t="s">
        <v>147</v>
      </c>
      <c r="C202" s="1" t="s">
        <v>148</v>
      </c>
      <c r="D202" s="1" t="s">
        <v>84</v>
      </c>
      <c r="E202" s="36">
        <v>5</v>
      </c>
    </row>
    <row r="203" spans="1:5">
      <c r="A203" s="54">
        <v>46233</v>
      </c>
      <c r="B203" s="1" t="s">
        <v>147</v>
      </c>
      <c r="C203" s="1" t="s">
        <v>148</v>
      </c>
      <c r="D203" s="1" t="s">
        <v>224</v>
      </c>
      <c r="E203" s="36">
        <v>203</v>
      </c>
    </row>
    <row r="204" spans="1:5">
      <c r="A204" s="54">
        <v>46233</v>
      </c>
      <c r="B204" s="1" t="s">
        <v>312</v>
      </c>
      <c r="C204" s="1" t="s">
        <v>325</v>
      </c>
      <c r="D204" s="1" t="s">
        <v>75</v>
      </c>
      <c r="E204" s="36">
        <v>140</v>
      </c>
    </row>
    <row r="205" spans="1:5">
      <c r="A205" s="54">
        <v>46233</v>
      </c>
      <c r="B205" s="1" t="s">
        <v>312</v>
      </c>
      <c r="C205" s="1" t="s">
        <v>325</v>
      </c>
      <c r="D205" s="1" t="s">
        <v>223</v>
      </c>
      <c r="E205" s="36">
        <v>110</v>
      </c>
    </row>
    <row r="206" spans="1:5">
      <c r="A206" s="54">
        <v>46233</v>
      </c>
      <c r="B206" s="1" t="s">
        <v>151</v>
      </c>
      <c r="C206" s="1" t="s">
        <v>148</v>
      </c>
      <c r="D206" s="1" t="s">
        <v>80</v>
      </c>
      <c r="E206" s="36">
        <v>65</v>
      </c>
    </row>
    <row r="207" spans="1:5">
      <c r="A207" s="54">
        <v>46233</v>
      </c>
      <c r="B207" s="1" t="s">
        <v>151</v>
      </c>
      <c r="C207" s="1" t="s">
        <v>148</v>
      </c>
      <c r="D207" s="1" t="s">
        <v>81</v>
      </c>
      <c r="E207" s="36">
        <v>262</v>
      </c>
    </row>
    <row r="208" spans="1:5">
      <c r="A208" s="54">
        <v>46233</v>
      </c>
      <c r="B208" s="1" t="s">
        <v>239</v>
      </c>
      <c r="C208" s="1" t="s">
        <v>154</v>
      </c>
      <c r="D208" s="1" t="s">
        <v>77</v>
      </c>
      <c r="E208" s="36">
        <v>8</v>
      </c>
    </row>
    <row r="209" spans="1:5">
      <c r="A209" s="54">
        <v>46233</v>
      </c>
      <c r="B209" s="1" t="s">
        <v>239</v>
      </c>
      <c r="C209" s="1" t="s">
        <v>154</v>
      </c>
      <c r="D209" s="1" t="s">
        <v>78</v>
      </c>
      <c r="E209" s="36">
        <v>105</v>
      </c>
    </row>
    <row r="210" spans="1:5">
      <c r="A210" s="54">
        <v>46233</v>
      </c>
      <c r="B210" s="1" t="s">
        <v>156</v>
      </c>
      <c r="C210" s="1" t="s">
        <v>191</v>
      </c>
      <c r="D210" s="1" t="s">
        <v>82</v>
      </c>
      <c r="E210" s="36">
        <v>364</v>
      </c>
    </row>
    <row r="211" spans="1:5">
      <c r="A211" s="54">
        <v>46233</v>
      </c>
      <c r="B211" s="1" t="s">
        <v>156</v>
      </c>
      <c r="C211" s="1" t="s">
        <v>191</v>
      </c>
      <c r="D211" s="1" t="s">
        <v>222</v>
      </c>
      <c r="E211" s="36">
        <v>1</v>
      </c>
    </row>
    <row r="212" spans="1:5">
      <c r="A212" s="54">
        <v>46233</v>
      </c>
      <c r="B212" s="1" t="s">
        <v>509</v>
      </c>
      <c r="C212" s="1" t="s">
        <v>33</v>
      </c>
      <c r="D212" s="1" t="s">
        <v>24</v>
      </c>
      <c r="E212" s="36">
        <v>600</v>
      </c>
    </row>
    <row r="213" spans="1:5">
      <c r="A213" s="56" t="s">
        <v>542</v>
      </c>
      <c r="B213" s="56"/>
      <c r="C213" s="56"/>
      <c r="D213" s="56"/>
      <c r="E213" s="36">
        <v>1988</v>
      </c>
    </row>
    <row r="214" spans="1:5">
      <c r="A214" s="43">
        <v>46240</v>
      </c>
      <c r="B214" s="1" t="s">
        <v>113</v>
      </c>
      <c r="C214" s="1" t="s">
        <v>182</v>
      </c>
      <c r="D214" s="1" t="s">
        <v>42</v>
      </c>
      <c r="E214" s="36">
        <v>300</v>
      </c>
    </row>
    <row r="215" spans="1:5">
      <c r="A215" s="43">
        <v>46240</v>
      </c>
      <c r="B215" s="1" t="s">
        <v>510</v>
      </c>
      <c r="C215" s="1" t="s">
        <v>198</v>
      </c>
      <c r="D215" s="1" t="s">
        <v>76</v>
      </c>
      <c r="E215" s="36">
        <v>26</v>
      </c>
    </row>
    <row r="216" spans="1:5">
      <c r="A216" s="43">
        <v>46240</v>
      </c>
      <c r="B216" s="1" t="s">
        <v>510</v>
      </c>
      <c r="C216" s="1" t="s">
        <v>198</v>
      </c>
      <c r="D216" s="1" t="s">
        <v>78</v>
      </c>
      <c r="E216" s="36">
        <v>202</v>
      </c>
    </row>
    <row r="217" spans="1:5">
      <c r="A217" s="43">
        <v>46240</v>
      </c>
      <c r="B217" s="1" t="s">
        <v>510</v>
      </c>
      <c r="C217" s="1" t="s">
        <v>198</v>
      </c>
      <c r="D217" s="1" t="s">
        <v>21</v>
      </c>
      <c r="E217" s="36">
        <v>190</v>
      </c>
    </row>
    <row r="218" spans="1:5">
      <c r="A218" s="43">
        <v>46240</v>
      </c>
      <c r="B218" s="1" t="s">
        <v>510</v>
      </c>
      <c r="C218" s="1" t="s">
        <v>198</v>
      </c>
      <c r="D218" s="1" t="s">
        <v>79</v>
      </c>
      <c r="E218" s="36">
        <v>66</v>
      </c>
    </row>
    <row r="219" spans="1:5">
      <c r="A219" s="43">
        <v>46240</v>
      </c>
      <c r="B219" s="1" t="s">
        <v>510</v>
      </c>
      <c r="C219" s="1" t="s">
        <v>198</v>
      </c>
      <c r="D219" s="1" t="s">
        <v>80</v>
      </c>
      <c r="E219" s="36">
        <v>521</v>
      </c>
    </row>
    <row r="220" spans="1:5">
      <c r="A220" s="43">
        <v>46240</v>
      </c>
      <c r="B220" s="1" t="s">
        <v>510</v>
      </c>
      <c r="C220" s="1" t="s">
        <v>198</v>
      </c>
      <c r="D220" s="1" t="s">
        <v>81</v>
      </c>
      <c r="E220" s="36">
        <v>326</v>
      </c>
    </row>
    <row r="221" spans="1:5">
      <c r="A221" s="43">
        <v>46240</v>
      </c>
      <c r="B221" s="1" t="s">
        <v>510</v>
      </c>
      <c r="C221" s="1" t="s">
        <v>198</v>
      </c>
      <c r="D221" s="1" t="s">
        <v>84</v>
      </c>
      <c r="E221" s="36">
        <v>48</v>
      </c>
    </row>
    <row r="222" spans="1:5">
      <c r="A222" s="43">
        <v>46240</v>
      </c>
      <c r="B222" s="1" t="s">
        <v>510</v>
      </c>
      <c r="C222" s="1" t="s">
        <v>198</v>
      </c>
      <c r="D222" s="1" t="s">
        <v>224</v>
      </c>
      <c r="E222" s="36">
        <v>353</v>
      </c>
    </row>
    <row r="223" spans="1:5">
      <c r="A223" s="43">
        <v>46240</v>
      </c>
      <c r="B223" s="1" t="s">
        <v>511</v>
      </c>
      <c r="C223" s="1" t="s">
        <v>201</v>
      </c>
      <c r="D223" s="1" t="s">
        <v>76</v>
      </c>
      <c r="E223" s="36">
        <v>26</v>
      </c>
    </row>
    <row r="224" spans="1:5">
      <c r="A224" s="43">
        <v>46240</v>
      </c>
      <c r="B224" s="1" t="s">
        <v>511</v>
      </c>
      <c r="C224" s="1" t="s">
        <v>201</v>
      </c>
      <c r="D224" s="1" t="s">
        <v>21</v>
      </c>
      <c r="E224" s="36">
        <v>190</v>
      </c>
    </row>
    <row r="225" spans="1:5">
      <c r="A225" s="43">
        <v>46240</v>
      </c>
      <c r="B225" s="1" t="s">
        <v>511</v>
      </c>
      <c r="C225" s="1" t="s">
        <v>201</v>
      </c>
      <c r="D225" s="1" t="s">
        <v>79</v>
      </c>
      <c r="E225" s="36">
        <v>66</v>
      </c>
    </row>
    <row r="226" spans="1:5">
      <c r="A226" s="43">
        <v>46240</v>
      </c>
      <c r="B226" s="1" t="s">
        <v>511</v>
      </c>
      <c r="C226" s="1" t="s">
        <v>201</v>
      </c>
      <c r="D226" s="1" t="s">
        <v>80</v>
      </c>
      <c r="E226" s="36">
        <v>361</v>
      </c>
    </row>
    <row r="227" spans="1:5">
      <c r="A227" s="43">
        <v>46240</v>
      </c>
      <c r="B227" s="1" t="s">
        <v>511</v>
      </c>
      <c r="C227" s="1" t="s">
        <v>201</v>
      </c>
      <c r="D227" s="1" t="s">
        <v>81</v>
      </c>
      <c r="E227" s="36">
        <v>64</v>
      </c>
    </row>
    <row r="228" spans="1:5">
      <c r="A228" s="43">
        <v>46240</v>
      </c>
      <c r="B228" s="1" t="s">
        <v>511</v>
      </c>
      <c r="C228" s="1" t="s">
        <v>201</v>
      </c>
      <c r="D228" s="1" t="s">
        <v>84</v>
      </c>
      <c r="E228" s="36">
        <v>43</v>
      </c>
    </row>
    <row r="229" spans="1:5">
      <c r="A229" s="43">
        <v>46240</v>
      </c>
      <c r="B229" s="1" t="s">
        <v>511</v>
      </c>
      <c r="C229" s="1" t="s">
        <v>201</v>
      </c>
      <c r="D229" s="1" t="s">
        <v>224</v>
      </c>
      <c r="E229" s="36">
        <v>150</v>
      </c>
    </row>
    <row r="230" spans="1:5">
      <c r="A230" s="1" t="s">
        <v>577</v>
      </c>
      <c r="B230" s="1"/>
      <c r="C230" s="1"/>
      <c r="D230" s="1"/>
      <c r="E230" s="36">
        <v>2932</v>
      </c>
    </row>
    <row r="231" spans="1:5">
      <c r="A231" s="43">
        <v>46241</v>
      </c>
      <c r="B231" s="1" t="s">
        <v>489</v>
      </c>
      <c r="C231" s="1" t="s">
        <v>490</v>
      </c>
      <c r="D231" s="1" t="s">
        <v>24</v>
      </c>
      <c r="E231" s="36">
        <v>3000</v>
      </c>
    </row>
    <row r="232" spans="1:5">
      <c r="A232" s="43">
        <v>46241</v>
      </c>
      <c r="B232" s="1" t="s">
        <v>311</v>
      </c>
      <c r="C232" s="1" t="s">
        <v>146</v>
      </c>
      <c r="D232" s="1" t="s">
        <v>72</v>
      </c>
      <c r="E232" s="36">
        <v>288</v>
      </c>
    </row>
    <row r="233" spans="1:5">
      <c r="A233" s="43">
        <v>46241</v>
      </c>
      <c r="B233" s="1" t="s">
        <v>311</v>
      </c>
      <c r="C233" s="1" t="s">
        <v>146</v>
      </c>
      <c r="D233" s="1" t="s">
        <v>28</v>
      </c>
      <c r="E233" s="36">
        <v>428</v>
      </c>
    </row>
    <row r="234" spans="1:5">
      <c r="A234" s="43">
        <v>46241</v>
      </c>
      <c r="B234" s="1" t="s">
        <v>509</v>
      </c>
      <c r="C234" s="1" t="s">
        <v>33</v>
      </c>
      <c r="D234" s="1" t="s">
        <v>24</v>
      </c>
      <c r="E234" s="36">
        <v>2700</v>
      </c>
    </row>
    <row r="235" spans="1:5">
      <c r="A235" s="43">
        <v>46241</v>
      </c>
      <c r="B235" s="1" t="s">
        <v>317</v>
      </c>
      <c r="C235" s="1" t="s">
        <v>184</v>
      </c>
      <c r="D235" s="1" t="s">
        <v>141</v>
      </c>
      <c r="E235" s="36">
        <v>4</v>
      </c>
    </row>
    <row r="236" spans="1:5">
      <c r="A236" s="43">
        <v>46241</v>
      </c>
      <c r="B236" s="1" t="s">
        <v>317</v>
      </c>
      <c r="C236" s="1" t="s">
        <v>184</v>
      </c>
      <c r="D236" s="1" t="s">
        <v>90</v>
      </c>
      <c r="E236" s="36">
        <v>896</v>
      </c>
    </row>
    <row r="237" spans="1:5">
      <c r="A237" s="43">
        <v>46241</v>
      </c>
      <c r="B237" s="1" t="s">
        <v>113</v>
      </c>
      <c r="C237" s="1" t="s">
        <v>182</v>
      </c>
      <c r="D237" s="1" t="s">
        <v>42</v>
      </c>
      <c r="E237" s="36">
        <v>593</v>
      </c>
    </row>
    <row r="238" spans="1:5">
      <c r="A238" s="43">
        <v>46241</v>
      </c>
      <c r="B238" s="1" t="s">
        <v>113</v>
      </c>
      <c r="C238" s="1" t="s">
        <v>182</v>
      </c>
      <c r="D238" s="1" t="s">
        <v>43</v>
      </c>
      <c r="E238" s="36">
        <v>607</v>
      </c>
    </row>
    <row r="239" spans="1:5">
      <c r="A239" s="43">
        <v>46241</v>
      </c>
      <c r="B239" s="1" t="s">
        <v>526</v>
      </c>
      <c r="C239" s="1" t="s">
        <v>230</v>
      </c>
      <c r="D239" s="1" t="s">
        <v>200</v>
      </c>
      <c r="E239" s="36">
        <v>12</v>
      </c>
    </row>
    <row r="240" spans="1:5">
      <c r="A240" s="43">
        <v>46241</v>
      </c>
      <c r="B240" s="1" t="s">
        <v>525</v>
      </c>
      <c r="C240" s="1" t="s">
        <v>500</v>
      </c>
      <c r="D240" s="1" t="s">
        <v>346</v>
      </c>
      <c r="E240" s="36">
        <v>32</v>
      </c>
    </row>
    <row r="241" spans="1:5">
      <c r="A241" s="43">
        <v>46241</v>
      </c>
      <c r="B241" s="1" t="s">
        <v>510</v>
      </c>
      <c r="C241" s="1" t="s">
        <v>198</v>
      </c>
      <c r="D241" s="1" t="s">
        <v>18</v>
      </c>
      <c r="E241" s="36">
        <v>45</v>
      </c>
    </row>
    <row r="242" spans="1:5">
      <c r="A242" s="43">
        <v>46241</v>
      </c>
      <c r="B242" s="1" t="s">
        <v>510</v>
      </c>
      <c r="C242" s="1" t="s">
        <v>198</v>
      </c>
      <c r="D242" s="1" t="s">
        <v>76</v>
      </c>
      <c r="E242" s="36">
        <v>44</v>
      </c>
    </row>
    <row r="243" spans="1:5">
      <c r="A243" s="43">
        <v>46241</v>
      </c>
      <c r="B243" s="1" t="s">
        <v>510</v>
      </c>
      <c r="C243" s="1" t="s">
        <v>198</v>
      </c>
      <c r="D243" s="1" t="s">
        <v>77</v>
      </c>
      <c r="E243" s="36">
        <v>277</v>
      </c>
    </row>
    <row r="244" spans="1:5">
      <c r="A244" s="43">
        <v>46241</v>
      </c>
      <c r="B244" s="1" t="s">
        <v>510</v>
      </c>
      <c r="C244" s="1" t="s">
        <v>198</v>
      </c>
      <c r="D244" s="1" t="s">
        <v>78</v>
      </c>
      <c r="E244" s="36">
        <v>258</v>
      </c>
    </row>
    <row r="245" spans="1:5">
      <c r="A245" s="43">
        <v>46241</v>
      </c>
      <c r="B245" s="1" t="s">
        <v>510</v>
      </c>
      <c r="C245" s="1" t="s">
        <v>198</v>
      </c>
      <c r="D245" s="1" t="s">
        <v>21</v>
      </c>
      <c r="E245" s="36">
        <v>37</v>
      </c>
    </row>
    <row r="246" spans="1:5">
      <c r="A246" s="43">
        <v>46241</v>
      </c>
      <c r="B246" s="1" t="s">
        <v>510</v>
      </c>
      <c r="C246" s="1" t="s">
        <v>198</v>
      </c>
      <c r="D246" s="1" t="s">
        <v>79</v>
      </c>
      <c r="E246" s="36">
        <v>4</v>
      </c>
    </row>
    <row r="247" spans="1:5">
      <c r="A247" s="43">
        <v>46241</v>
      </c>
      <c r="B247" s="1" t="s">
        <v>510</v>
      </c>
      <c r="C247" s="1" t="s">
        <v>198</v>
      </c>
      <c r="D247" s="1" t="s">
        <v>80</v>
      </c>
      <c r="E247" s="36">
        <v>315</v>
      </c>
    </row>
    <row r="248" spans="1:5">
      <c r="A248" s="43">
        <v>46241</v>
      </c>
      <c r="B248" s="1" t="s">
        <v>510</v>
      </c>
      <c r="C248" s="1" t="s">
        <v>198</v>
      </c>
      <c r="D248" s="1" t="s">
        <v>81</v>
      </c>
      <c r="E248" s="36">
        <v>544</v>
      </c>
    </row>
    <row r="249" spans="1:5">
      <c r="A249" s="43">
        <v>46241</v>
      </c>
      <c r="B249" s="1" t="s">
        <v>511</v>
      </c>
      <c r="C249" s="1" t="s">
        <v>201</v>
      </c>
      <c r="D249" s="1" t="s">
        <v>18</v>
      </c>
      <c r="E249" s="36">
        <v>45</v>
      </c>
    </row>
    <row r="250" spans="1:5">
      <c r="A250" s="43">
        <v>46241</v>
      </c>
      <c r="B250" s="1" t="s">
        <v>511</v>
      </c>
      <c r="C250" s="1" t="s">
        <v>201</v>
      </c>
      <c r="D250" s="1" t="s">
        <v>76</v>
      </c>
      <c r="E250" s="36">
        <v>44</v>
      </c>
    </row>
    <row r="251" spans="1:5">
      <c r="A251" s="43">
        <v>46241</v>
      </c>
      <c r="B251" s="1" t="s">
        <v>511</v>
      </c>
      <c r="C251" s="1" t="s">
        <v>201</v>
      </c>
      <c r="D251" s="1" t="s">
        <v>77</v>
      </c>
      <c r="E251" s="36">
        <v>277</v>
      </c>
    </row>
    <row r="252" spans="1:5">
      <c r="A252" s="43">
        <v>46241</v>
      </c>
      <c r="B252" s="1" t="s">
        <v>511</v>
      </c>
      <c r="C252" s="1" t="s">
        <v>201</v>
      </c>
      <c r="D252" s="1" t="s">
        <v>78</v>
      </c>
      <c r="E252" s="36">
        <v>460</v>
      </c>
    </row>
    <row r="253" spans="1:5">
      <c r="A253" s="43">
        <v>46241</v>
      </c>
      <c r="B253" s="1" t="s">
        <v>511</v>
      </c>
      <c r="C253" s="1" t="s">
        <v>201</v>
      </c>
      <c r="D253" s="1" t="s">
        <v>21</v>
      </c>
      <c r="E253" s="36">
        <v>37</v>
      </c>
    </row>
    <row r="254" spans="1:5">
      <c r="A254" s="43">
        <v>46241</v>
      </c>
      <c r="B254" s="1" t="s">
        <v>511</v>
      </c>
      <c r="C254" s="1" t="s">
        <v>201</v>
      </c>
      <c r="D254" s="1" t="s">
        <v>79</v>
      </c>
      <c r="E254" s="36">
        <v>4</v>
      </c>
    </row>
    <row r="255" spans="1:5">
      <c r="A255" s="43">
        <v>46241</v>
      </c>
      <c r="B255" s="1" t="s">
        <v>511</v>
      </c>
      <c r="C255" s="1" t="s">
        <v>201</v>
      </c>
      <c r="D255" s="1" t="s">
        <v>80</v>
      </c>
      <c r="E255" s="36">
        <v>475</v>
      </c>
    </row>
    <row r="256" spans="1:5">
      <c r="A256" s="43">
        <v>46241</v>
      </c>
      <c r="B256" s="1" t="s">
        <v>511</v>
      </c>
      <c r="C256" s="1" t="s">
        <v>201</v>
      </c>
      <c r="D256" s="1" t="s">
        <v>81</v>
      </c>
      <c r="E256" s="36">
        <v>806</v>
      </c>
    </row>
    <row r="257" spans="1:5">
      <c r="A257" s="43">
        <v>46241</v>
      </c>
      <c r="B257" s="1" t="s">
        <v>511</v>
      </c>
      <c r="C257" s="1" t="s">
        <v>201</v>
      </c>
      <c r="D257" s="1" t="s">
        <v>84</v>
      </c>
      <c r="E257" s="36">
        <v>5</v>
      </c>
    </row>
    <row r="258" spans="1:5">
      <c r="A258" s="43">
        <v>46241</v>
      </c>
      <c r="B258" s="1" t="s">
        <v>511</v>
      </c>
      <c r="C258" s="1" t="s">
        <v>201</v>
      </c>
      <c r="D258" s="1" t="s">
        <v>224</v>
      </c>
      <c r="E258" s="36">
        <v>203</v>
      </c>
    </row>
    <row r="259" spans="1:5">
      <c r="A259" s="1" t="s">
        <v>578</v>
      </c>
      <c r="B259" s="1"/>
      <c r="C259" s="1"/>
      <c r="D259" s="1"/>
      <c r="E259" s="36">
        <v>12440</v>
      </c>
    </row>
    <row r="260" spans="1:5">
      <c r="A260" s="54">
        <v>46252</v>
      </c>
      <c r="B260" s="1" t="s">
        <v>145</v>
      </c>
      <c r="C260" s="1" t="s">
        <v>146</v>
      </c>
      <c r="D260" s="1" t="s">
        <v>20</v>
      </c>
      <c r="E260" s="36">
        <v>13</v>
      </c>
    </row>
    <row r="261" spans="1:5">
      <c r="A261" s="54">
        <v>46252</v>
      </c>
      <c r="B261" s="1" t="s">
        <v>145</v>
      </c>
      <c r="C261" s="1" t="s">
        <v>146</v>
      </c>
      <c r="D261" s="1" t="s">
        <v>22</v>
      </c>
      <c r="E261" s="36">
        <v>735</v>
      </c>
    </row>
    <row r="262" spans="1:5">
      <c r="A262" s="54">
        <v>46252</v>
      </c>
      <c r="B262" s="1" t="s">
        <v>15</v>
      </c>
      <c r="C262" s="1" t="s">
        <v>16</v>
      </c>
      <c r="D262" s="1" t="s">
        <v>10</v>
      </c>
      <c r="E262" s="36">
        <v>250</v>
      </c>
    </row>
    <row r="263" spans="1:5">
      <c r="A263" s="54">
        <v>46252</v>
      </c>
      <c r="B263" s="1" t="s">
        <v>162</v>
      </c>
      <c r="C263" s="1" t="s">
        <v>187</v>
      </c>
      <c r="D263" s="1" t="s">
        <v>140</v>
      </c>
      <c r="E263" s="36">
        <v>959</v>
      </c>
    </row>
    <row r="264" spans="1:5">
      <c r="A264" s="54">
        <v>46252</v>
      </c>
      <c r="B264" s="1" t="s">
        <v>236</v>
      </c>
      <c r="C264" s="1" t="s">
        <v>38</v>
      </c>
      <c r="D264" s="1" t="s">
        <v>26</v>
      </c>
      <c r="E264" s="36">
        <v>23</v>
      </c>
    </row>
    <row r="265" spans="1:5">
      <c r="A265" s="54">
        <v>46252</v>
      </c>
      <c r="B265" s="1" t="s">
        <v>236</v>
      </c>
      <c r="C265" s="1" t="s">
        <v>38</v>
      </c>
      <c r="D265" s="1" t="s">
        <v>95</v>
      </c>
      <c r="E265" s="36">
        <v>349</v>
      </c>
    </row>
    <row r="266" spans="1:5">
      <c r="A266" s="54">
        <v>46252</v>
      </c>
      <c r="B266" s="1" t="s">
        <v>8</v>
      </c>
      <c r="C266" s="1" t="s">
        <v>9</v>
      </c>
      <c r="D266" s="1" t="s">
        <v>10</v>
      </c>
      <c r="E266" s="36">
        <v>125</v>
      </c>
    </row>
    <row r="267" spans="1:5">
      <c r="A267" s="54">
        <v>46252</v>
      </c>
      <c r="B267" s="1" t="s">
        <v>501</v>
      </c>
      <c r="C267" s="1" t="s">
        <v>502</v>
      </c>
      <c r="D267" s="1" t="s">
        <v>349</v>
      </c>
      <c r="E267" s="36">
        <v>150</v>
      </c>
    </row>
    <row r="268" spans="1:5">
      <c r="A268" s="54">
        <v>46252</v>
      </c>
      <c r="B268" s="1" t="s">
        <v>219</v>
      </c>
      <c r="C268" s="1" t="s">
        <v>498</v>
      </c>
      <c r="D268" s="1" t="s">
        <v>25</v>
      </c>
      <c r="E268" s="36">
        <v>1390</v>
      </c>
    </row>
    <row r="269" spans="1:5">
      <c r="A269" s="54">
        <v>46252</v>
      </c>
      <c r="B269" s="1" t="s">
        <v>194</v>
      </c>
      <c r="C269" s="1" t="s">
        <v>195</v>
      </c>
      <c r="D269" s="1" t="s">
        <v>48</v>
      </c>
      <c r="E269" s="36">
        <v>1270</v>
      </c>
    </row>
    <row r="270" spans="1:5">
      <c r="A270" s="54">
        <v>46252</v>
      </c>
      <c r="B270" s="1" t="s">
        <v>331</v>
      </c>
      <c r="C270" s="1" t="s">
        <v>334</v>
      </c>
      <c r="D270" s="1" t="s">
        <v>346</v>
      </c>
      <c r="E270" s="36">
        <v>8</v>
      </c>
    </row>
    <row r="271" spans="1:5">
      <c r="A271" s="54">
        <v>46252</v>
      </c>
      <c r="B271" s="1" t="s">
        <v>510</v>
      </c>
      <c r="C271" s="1" t="s">
        <v>198</v>
      </c>
      <c r="D271" s="1" t="s">
        <v>80</v>
      </c>
      <c r="E271" s="36">
        <v>2</v>
      </c>
    </row>
    <row r="272" spans="1:5">
      <c r="A272" s="54">
        <v>46252</v>
      </c>
      <c r="B272" s="1" t="s">
        <v>511</v>
      </c>
      <c r="C272" s="1" t="s">
        <v>201</v>
      </c>
      <c r="D272" s="1" t="s">
        <v>80</v>
      </c>
      <c r="E272" s="36">
        <v>2</v>
      </c>
    </row>
    <row r="273" spans="1:5">
      <c r="A273" s="56" t="s">
        <v>543</v>
      </c>
      <c r="B273" s="56"/>
      <c r="C273" s="56"/>
      <c r="D273" s="56"/>
      <c r="E273" s="36">
        <v>5276</v>
      </c>
    </row>
    <row r="274" spans="1:5">
      <c r="A274" s="54">
        <v>46258</v>
      </c>
      <c r="B274" s="1" t="s">
        <v>509</v>
      </c>
      <c r="C274" s="1" t="s">
        <v>33</v>
      </c>
      <c r="D274" s="1" t="s">
        <v>24</v>
      </c>
      <c r="E274" s="36">
        <v>2576</v>
      </c>
    </row>
    <row r="275" spans="1:5">
      <c r="A275" s="1" t="s">
        <v>544</v>
      </c>
      <c r="B275" s="1"/>
      <c r="C275" s="1"/>
      <c r="D275" s="1"/>
      <c r="E275" s="36">
        <v>2576</v>
      </c>
    </row>
    <row r="276" spans="1:5">
      <c r="A276" s="43">
        <v>46262</v>
      </c>
      <c r="B276" s="1" t="s">
        <v>330</v>
      </c>
      <c r="C276" s="1" t="s">
        <v>30</v>
      </c>
      <c r="D276" s="1" t="s">
        <v>142</v>
      </c>
      <c r="E276" s="36">
        <v>23</v>
      </c>
    </row>
    <row r="277" spans="1:5">
      <c r="A277" s="43">
        <v>46262</v>
      </c>
      <c r="B277" s="1" t="s">
        <v>330</v>
      </c>
      <c r="C277" s="1" t="s">
        <v>30</v>
      </c>
      <c r="D277" s="1" t="s">
        <v>17</v>
      </c>
      <c r="E277" s="36">
        <v>77</v>
      </c>
    </row>
    <row r="278" spans="1:5">
      <c r="A278" s="43">
        <v>46262</v>
      </c>
      <c r="B278" s="1" t="s">
        <v>330</v>
      </c>
      <c r="C278" s="1" t="s">
        <v>30</v>
      </c>
      <c r="D278" s="1" t="s">
        <v>93</v>
      </c>
      <c r="E278" s="36">
        <v>4702</v>
      </c>
    </row>
    <row r="279" spans="1:5">
      <c r="A279" s="1" t="s">
        <v>545</v>
      </c>
      <c r="B279" s="1"/>
      <c r="C279" s="1"/>
      <c r="D279" s="1"/>
      <c r="E279" s="36">
        <v>4802</v>
      </c>
    </row>
    <row r="280" spans="1:5">
      <c r="A280" s="1" t="s">
        <v>521</v>
      </c>
      <c r="B280" s="1" t="s">
        <v>149</v>
      </c>
      <c r="C280" s="1" t="s">
        <v>150</v>
      </c>
      <c r="D280" s="1" t="s">
        <v>21</v>
      </c>
      <c r="E280" s="36">
        <v>227</v>
      </c>
    </row>
    <row r="281" spans="1:5">
      <c r="A281" s="1" t="s">
        <v>521</v>
      </c>
      <c r="B281" s="1" t="s">
        <v>149</v>
      </c>
      <c r="C281" s="1" t="s">
        <v>150</v>
      </c>
      <c r="D281" s="1" t="s">
        <v>79</v>
      </c>
      <c r="E281" s="36">
        <v>70</v>
      </c>
    </row>
    <row r="282" spans="1:5">
      <c r="A282" s="1" t="s">
        <v>521</v>
      </c>
      <c r="B282" s="1" t="s">
        <v>449</v>
      </c>
      <c r="C282" s="1" t="s">
        <v>451</v>
      </c>
      <c r="D282" s="1" t="s">
        <v>88</v>
      </c>
      <c r="E282" s="36">
        <v>52</v>
      </c>
    </row>
    <row r="283" spans="1:5">
      <c r="A283" s="1" t="s">
        <v>521</v>
      </c>
      <c r="B283" s="1" t="s">
        <v>449</v>
      </c>
      <c r="C283" s="1" t="s">
        <v>451</v>
      </c>
      <c r="D283" s="1" t="s">
        <v>89</v>
      </c>
      <c r="E283" s="36">
        <v>657</v>
      </c>
    </row>
    <row r="284" spans="1:5">
      <c r="A284" s="1" t="s">
        <v>521</v>
      </c>
      <c r="B284" s="1" t="s">
        <v>449</v>
      </c>
      <c r="C284" s="1" t="s">
        <v>451</v>
      </c>
      <c r="D284" s="1" t="s">
        <v>23</v>
      </c>
      <c r="E284" s="36">
        <v>526</v>
      </c>
    </row>
    <row r="285" spans="1:5">
      <c r="A285" s="1" t="s">
        <v>521</v>
      </c>
      <c r="B285" s="1" t="s">
        <v>14</v>
      </c>
      <c r="C285" s="1" t="s">
        <v>450</v>
      </c>
      <c r="D285" s="1" t="s">
        <v>13</v>
      </c>
      <c r="E285" s="36">
        <v>60</v>
      </c>
    </row>
    <row r="286" spans="1:5">
      <c r="A286" s="1" t="s">
        <v>521</v>
      </c>
      <c r="B286" s="1" t="s">
        <v>494</v>
      </c>
      <c r="C286" s="1" t="s">
        <v>495</v>
      </c>
      <c r="D286" s="1" t="s">
        <v>466</v>
      </c>
      <c r="E286" s="36">
        <v>1</v>
      </c>
    </row>
    <row r="287" spans="1:5">
      <c r="A287" s="1" t="s">
        <v>521</v>
      </c>
      <c r="B287" s="1" t="s">
        <v>155</v>
      </c>
      <c r="C287" s="1" t="s">
        <v>188</v>
      </c>
      <c r="D287" s="1" t="s">
        <v>136</v>
      </c>
      <c r="E287" s="36">
        <v>17</v>
      </c>
    </row>
    <row r="288" spans="1:5">
      <c r="A288" s="1" t="s">
        <v>521</v>
      </c>
      <c r="B288" s="1" t="s">
        <v>235</v>
      </c>
      <c r="C288" s="1" t="s">
        <v>188</v>
      </c>
      <c r="D288" s="1" t="s">
        <v>139</v>
      </c>
      <c r="E288" s="36">
        <v>1190</v>
      </c>
    </row>
    <row r="289" spans="1:5">
      <c r="A289" s="1" t="s">
        <v>521</v>
      </c>
      <c r="B289" s="1" t="s">
        <v>31</v>
      </c>
      <c r="C289" s="1" t="s">
        <v>32</v>
      </c>
      <c r="D289" s="1" t="s">
        <v>88</v>
      </c>
      <c r="E289" s="36">
        <v>80</v>
      </c>
    </row>
    <row r="290" spans="1:5">
      <c r="A290" s="1" t="s">
        <v>521</v>
      </c>
      <c r="B290" s="1" t="s">
        <v>31</v>
      </c>
      <c r="C290" s="1" t="s">
        <v>32</v>
      </c>
      <c r="D290" s="1" t="s">
        <v>89</v>
      </c>
      <c r="E290" s="36">
        <v>40</v>
      </c>
    </row>
    <row r="291" spans="1:5">
      <c r="A291" s="1" t="s">
        <v>521</v>
      </c>
      <c r="B291" s="1" t="s">
        <v>31</v>
      </c>
      <c r="C291" s="1" t="s">
        <v>32</v>
      </c>
      <c r="D291" s="1" t="s">
        <v>23</v>
      </c>
      <c r="E291" s="36">
        <v>1115</v>
      </c>
    </row>
    <row r="292" spans="1:5">
      <c r="A292" s="1" t="s">
        <v>521</v>
      </c>
      <c r="B292" s="1" t="s">
        <v>303</v>
      </c>
      <c r="C292" s="1" t="s">
        <v>182</v>
      </c>
      <c r="D292" s="1" t="s">
        <v>97</v>
      </c>
      <c r="E292" s="36">
        <v>162</v>
      </c>
    </row>
    <row r="293" spans="1:5">
      <c r="A293" s="1" t="s">
        <v>521</v>
      </c>
      <c r="B293" s="1" t="s">
        <v>113</v>
      </c>
      <c r="C293" s="1" t="s">
        <v>182</v>
      </c>
      <c r="D293" s="1" t="s">
        <v>43</v>
      </c>
      <c r="E293" s="36">
        <v>1060</v>
      </c>
    </row>
    <row r="294" spans="1:5">
      <c r="A294" s="1" t="s">
        <v>521</v>
      </c>
      <c r="B294" s="1" t="s">
        <v>124</v>
      </c>
      <c r="C294" s="1" t="s">
        <v>39</v>
      </c>
      <c r="D294" s="1" t="s">
        <v>50</v>
      </c>
      <c r="E294" s="36">
        <v>250</v>
      </c>
    </row>
    <row r="295" spans="1:5">
      <c r="A295" s="1" t="s">
        <v>521</v>
      </c>
      <c r="B295" s="1" t="s">
        <v>11</v>
      </c>
      <c r="C295" s="1" t="s">
        <v>12</v>
      </c>
      <c r="D295" s="1" t="s">
        <v>13</v>
      </c>
      <c r="E295" s="36">
        <v>30</v>
      </c>
    </row>
    <row r="296" spans="1:5">
      <c r="A296" s="1" t="s">
        <v>521</v>
      </c>
      <c r="B296" s="1" t="s">
        <v>496</v>
      </c>
      <c r="C296" s="1" t="s">
        <v>497</v>
      </c>
      <c r="D296" s="1" t="s">
        <v>469</v>
      </c>
      <c r="E296" s="36">
        <v>8</v>
      </c>
    </row>
    <row r="297" spans="1:5">
      <c r="A297" s="1" t="s">
        <v>521</v>
      </c>
      <c r="B297" s="1" t="s">
        <v>503</v>
      </c>
      <c r="C297" s="1" t="s">
        <v>504</v>
      </c>
      <c r="D297" s="1" t="s">
        <v>351</v>
      </c>
      <c r="E297" s="36">
        <v>17</v>
      </c>
    </row>
    <row r="298" spans="1:5">
      <c r="A298" s="1" t="s">
        <v>521</v>
      </c>
      <c r="B298" s="1" t="s">
        <v>219</v>
      </c>
      <c r="C298" s="1" t="s">
        <v>498</v>
      </c>
      <c r="D298" s="1" t="s">
        <v>70</v>
      </c>
      <c r="E298" s="36">
        <v>472</v>
      </c>
    </row>
    <row r="299" spans="1:5">
      <c r="A299" s="1" t="s">
        <v>521</v>
      </c>
      <c r="B299" s="1" t="s">
        <v>219</v>
      </c>
      <c r="C299" s="1" t="s">
        <v>498</v>
      </c>
      <c r="D299" s="1" t="s">
        <v>25</v>
      </c>
      <c r="E299" s="36">
        <v>1728</v>
      </c>
    </row>
    <row r="300" spans="1:5">
      <c r="A300" s="1" t="s">
        <v>521</v>
      </c>
      <c r="B300" s="1" t="s">
        <v>219</v>
      </c>
      <c r="C300" s="1" t="s">
        <v>498</v>
      </c>
      <c r="D300" s="1" t="s">
        <v>469</v>
      </c>
      <c r="E300" s="36">
        <v>2</v>
      </c>
    </row>
    <row r="301" spans="1:5">
      <c r="A301" s="1" t="s">
        <v>521</v>
      </c>
      <c r="B301" s="1" t="s">
        <v>194</v>
      </c>
      <c r="C301" s="1" t="s">
        <v>195</v>
      </c>
      <c r="D301" s="1" t="s">
        <v>47</v>
      </c>
      <c r="E301" s="36">
        <v>36</v>
      </c>
    </row>
    <row r="302" spans="1:5">
      <c r="A302" s="1" t="s">
        <v>521</v>
      </c>
      <c r="B302" s="1" t="s">
        <v>194</v>
      </c>
      <c r="C302" s="1" t="s">
        <v>195</v>
      </c>
      <c r="D302" s="1" t="s">
        <v>48</v>
      </c>
      <c r="E302" s="36">
        <v>242</v>
      </c>
    </row>
    <row r="303" spans="1:5">
      <c r="A303" s="1" t="s">
        <v>521</v>
      </c>
      <c r="B303" s="1" t="s">
        <v>331</v>
      </c>
      <c r="C303" s="1" t="s">
        <v>334</v>
      </c>
      <c r="D303" s="1" t="s">
        <v>200</v>
      </c>
      <c r="E303" s="36">
        <v>1077</v>
      </c>
    </row>
    <row r="304" spans="1:5">
      <c r="A304" s="1" t="s">
        <v>521</v>
      </c>
      <c r="B304" s="1" t="s">
        <v>521</v>
      </c>
      <c r="C304" s="1" t="s">
        <v>521</v>
      </c>
      <c r="D304" s="1" t="s">
        <v>521</v>
      </c>
      <c r="E304" s="36"/>
    </row>
    <row r="305" spans="1:5">
      <c r="A305" s="1" t="s">
        <v>521</v>
      </c>
      <c r="B305" s="1" t="s">
        <v>555</v>
      </c>
      <c r="C305" s="1" t="s">
        <v>502</v>
      </c>
      <c r="D305" s="1" t="s">
        <v>349</v>
      </c>
      <c r="E305" s="36">
        <v>167</v>
      </c>
    </row>
    <row r="306" spans="1:5">
      <c r="A306" s="1" t="s">
        <v>538</v>
      </c>
      <c r="B306" s="1"/>
      <c r="C306" s="1"/>
      <c r="D306" s="1"/>
      <c r="E306" s="36">
        <v>9286</v>
      </c>
    </row>
    <row r="307" spans="1:5">
      <c r="A307" s="43">
        <v>46286</v>
      </c>
      <c r="B307" s="1" t="s">
        <v>205</v>
      </c>
      <c r="C307" s="1" t="s">
        <v>206</v>
      </c>
      <c r="D307" s="1" t="s">
        <v>199</v>
      </c>
      <c r="E307" s="36">
        <v>2642</v>
      </c>
    </row>
    <row r="308" spans="1:5">
      <c r="A308" s="1" t="s">
        <v>550</v>
      </c>
      <c r="B308" s="1"/>
      <c r="C308" s="1"/>
      <c r="D308" s="1"/>
      <c r="E308" s="36">
        <v>2642</v>
      </c>
    </row>
    <row r="309" spans="1:5">
      <c r="A309" s="43">
        <v>46253</v>
      </c>
      <c r="B309" s="1" t="s">
        <v>489</v>
      </c>
      <c r="C309" s="1" t="s">
        <v>490</v>
      </c>
      <c r="D309" s="1" t="s">
        <v>24</v>
      </c>
      <c r="E309" s="36">
        <v>8144</v>
      </c>
    </row>
    <row r="310" spans="1:5">
      <c r="A310" s="43">
        <v>46253</v>
      </c>
      <c r="B310" s="1" t="s">
        <v>489</v>
      </c>
      <c r="C310" s="1" t="s">
        <v>490</v>
      </c>
      <c r="D310" s="1" t="s">
        <v>140</v>
      </c>
      <c r="E310" s="36">
        <v>1918</v>
      </c>
    </row>
    <row r="311" spans="1:5">
      <c r="A311" s="43">
        <v>46253</v>
      </c>
      <c r="B311" s="1" t="s">
        <v>489</v>
      </c>
      <c r="C311" s="1" t="s">
        <v>490</v>
      </c>
      <c r="D311" s="1" t="s">
        <v>86</v>
      </c>
      <c r="E311" s="36">
        <v>726</v>
      </c>
    </row>
    <row r="312" spans="1:5">
      <c r="A312" s="43">
        <v>46253</v>
      </c>
      <c r="B312" s="1" t="s">
        <v>123</v>
      </c>
      <c r="C312" s="1" t="s">
        <v>183</v>
      </c>
      <c r="D312" s="1" t="s">
        <v>86</v>
      </c>
      <c r="E312" s="36">
        <v>363</v>
      </c>
    </row>
    <row r="313" spans="1:5">
      <c r="A313" s="43">
        <v>46253</v>
      </c>
      <c r="B313" s="1" t="s">
        <v>317</v>
      </c>
      <c r="C313" s="1" t="s">
        <v>184</v>
      </c>
      <c r="D313" s="1" t="s">
        <v>90</v>
      </c>
      <c r="E313" s="36">
        <v>2102</v>
      </c>
    </row>
    <row r="314" spans="1:5">
      <c r="A314" s="43">
        <v>46253</v>
      </c>
      <c r="B314" s="1" t="s">
        <v>526</v>
      </c>
      <c r="C314" s="1" t="s">
        <v>230</v>
      </c>
      <c r="D314" s="1" t="s">
        <v>200</v>
      </c>
      <c r="E314" s="36">
        <v>324</v>
      </c>
    </row>
    <row r="315" spans="1:5">
      <c r="A315" s="1" t="s">
        <v>551</v>
      </c>
      <c r="B315" s="1"/>
      <c r="C315" s="1"/>
      <c r="D315" s="1"/>
      <c r="E315" s="36">
        <v>13577</v>
      </c>
    </row>
    <row r="316" spans="1:5">
      <c r="A316" s="43">
        <v>46265</v>
      </c>
      <c r="B316" s="1" t="s">
        <v>143</v>
      </c>
      <c r="C316" s="1" t="s">
        <v>237</v>
      </c>
      <c r="D316" s="1" t="s">
        <v>20</v>
      </c>
      <c r="E316" s="36">
        <v>13</v>
      </c>
    </row>
    <row r="317" spans="1:5">
      <c r="A317" s="43">
        <v>46265</v>
      </c>
      <c r="B317" s="1" t="s">
        <v>143</v>
      </c>
      <c r="C317" s="1" t="s">
        <v>237</v>
      </c>
      <c r="D317" s="1" t="s">
        <v>22</v>
      </c>
      <c r="E317" s="36">
        <v>735</v>
      </c>
    </row>
    <row r="318" spans="1:5">
      <c r="A318" s="43">
        <v>46265</v>
      </c>
      <c r="B318" s="1" t="s">
        <v>143</v>
      </c>
      <c r="C318" s="1" t="s">
        <v>237</v>
      </c>
      <c r="D318" s="1" t="s">
        <v>72</v>
      </c>
      <c r="E318" s="36">
        <v>288</v>
      </c>
    </row>
    <row r="319" spans="1:5">
      <c r="A319" s="43">
        <v>46265</v>
      </c>
      <c r="B319" s="1" t="s">
        <v>143</v>
      </c>
      <c r="C319" s="1" t="s">
        <v>237</v>
      </c>
      <c r="D319" s="1" t="s">
        <v>28</v>
      </c>
      <c r="E319" s="36">
        <v>428</v>
      </c>
    </row>
    <row r="320" spans="1:5">
      <c r="A320" s="43">
        <v>46265</v>
      </c>
      <c r="B320" s="1" t="s">
        <v>143</v>
      </c>
      <c r="C320" s="1" t="s">
        <v>237</v>
      </c>
      <c r="D320" s="1" t="s">
        <v>19</v>
      </c>
      <c r="E320" s="36">
        <v>41</v>
      </c>
    </row>
    <row r="321" spans="1:5">
      <c r="A321" s="43">
        <v>46265</v>
      </c>
      <c r="B321" s="1" t="s">
        <v>143</v>
      </c>
      <c r="C321" s="1" t="s">
        <v>237</v>
      </c>
      <c r="D321" s="1" t="s">
        <v>73</v>
      </c>
      <c r="E321" s="36">
        <v>57</v>
      </c>
    </row>
    <row r="322" spans="1:5">
      <c r="A322" s="43">
        <v>46265</v>
      </c>
      <c r="B322" s="1" t="s">
        <v>143</v>
      </c>
      <c r="C322" s="1" t="s">
        <v>237</v>
      </c>
      <c r="D322" s="1" t="s">
        <v>75</v>
      </c>
      <c r="E322" s="36">
        <v>140</v>
      </c>
    </row>
    <row r="323" spans="1:5">
      <c r="A323" s="43">
        <v>46265</v>
      </c>
      <c r="B323" s="1" t="s">
        <v>143</v>
      </c>
      <c r="C323" s="1" t="s">
        <v>237</v>
      </c>
      <c r="D323" s="1" t="s">
        <v>223</v>
      </c>
      <c r="E323" s="36">
        <v>110</v>
      </c>
    </row>
    <row r="324" spans="1:5">
      <c r="A324" s="43">
        <v>46265</v>
      </c>
      <c r="B324" s="1" t="s">
        <v>143</v>
      </c>
      <c r="C324" s="1" t="s">
        <v>237</v>
      </c>
      <c r="D324" s="1" t="s">
        <v>82</v>
      </c>
      <c r="E324" s="36">
        <v>364</v>
      </c>
    </row>
    <row r="325" spans="1:5">
      <c r="A325" s="43">
        <v>46265</v>
      </c>
      <c r="B325" s="1" t="s">
        <v>143</v>
      </c>
      <c r="C325" s="1" t="s">
        <v>237</v>
      </c>
      <c r="D325" s="1" t="s">
        <v>222</v>
      </c>
      <c r="E325" s="36">
        <v>1</v>
      </c>
    </row>
    <row r="326" spans="1:5">
      <c r="A326" s="43">
        <v>46265</v>
      </c>
      <c r="B326" s="1" t="s">
        <v>144</v>
      </c>
      <c r="C326" s="1" t="s">
        <v>238</v>
      </c>
      <c r="D326" s="1" t="s">
        <v>20</v>
      </c>
      <c r="E326" s="36">
        <v>13</v>
      </c>
    </row>
    <row r="327" spans="1:5">
      <c r="A327" s="43">
        <v>46265</v>
      </c>
      <c r="B327" s="1" t="s">
        <v>144</v>
      </c>
      <c r="C327" s="1" t="s">
        <v>238</v>
      </c>
      <c r="D327" s="1" t="s">
        <v>22</v>
      </c>
      <c r="E327" s="36">
        <v>735</v>
      </c>
    </row>
    <row r="328" spans="1:5">
      <c r="A328" s="43">
        <v>46265</v>
      </c>
      <c r="B328" s="1" t="s">
        <v>144</v>
      </c>
      <c r="C328" s="1" t="s">
        <v>238</v>
      </c>
      <c r="D328" s="1" t="s">
        <v>72</v>
      </c>
      <c r="E328" s="36">
        <v>288</v>
      </c>
    </row>
    <row r="329" spans="1:5">
      <c r="A329" s="43">
        <v>46265</v>
      </c>
      <c r="B329" s="1" t="s">
        <v>144</v>
      </c>
      <c r="C329" s="1" t="s">
        <v>238</v>
      </c>
      <c r="D329" s="1" t="s">
        <v>28</v>
      </c>
      <c r="E329" s="36">
        <v>428</v>
      </c>
    </row>
    <row r="330" spans="1:5">
      <c r="A330" s="43">
        <v>46265</v>
      </c>
      <c r="B330" s="1" t="s">
        <v>144</v>
      </c>
      <c r="C330" s="1" t="s">
        <v>238</v>
      </c>
      <c r="D330" s="1" t="s">
        <v>19</v>
      </c>
      <c r="E330" s="36">
        <v>41</v>
      </c>
    </row>
    <row r="331" spans="1:5">
      <c r="A331" s="43">
        <v>46265</v>
      </c>
      <c r="B331" s="1" t="s">
        <v>144</v>
      </c>
      <c r="C331" s="1" t="s">
        <v>238</v>
      </c>
      <c r="D331" s="1" t="s">
        <v>73</v>
      </c>
      <c r="E331" s="36">
        <v>57</v>
      </c>
    </row>
    <row r="332" spans="1:5">
      <c r="A332" s="43">
        <v>46265</v>
      </c>
      <c r="B332" s="1" t="s">
        <v>144</v>
      </c>
      <c r="C332" s="1" t="s">
        <v>238</v>
      </c>
      <c r="D332" s="1" t="s">
        <v>75</v>
      </c>
      <c r="E332" s="36">
        <v>140</v>
      </c>
    </row>
    <row r="333" spans="1:5">
      <c r="A333" s="43">
        <v>46265</v>
      </c>
      <c r="B333" s="1" t="s">
        <v>144</v>
      </c>
      <c r="C333" s="1" t="s">
        <v>238</v>
      </c>
      <c r="D333" s="1" t="s">
        <v>223</v>
      </c>
      <c r="E333" s="36">
        <v>110</v>
      </c>
    </row>
    <row r="334" spans="1:5">
      <c r="A334" s="43">
        <v>46265</v>
      </c>
      <c r="B334" s="1" t="s">
        <v>144</v>
      </c>
      <c r="C334" s="1" t="s">
        <v>238</v>
      </c>
      <c r="D334" s="1" t="s">
        <v>82</v>
      </c>
      <c r="E334" s="36">
        <v>364</v>
      </c>
    </row>
    <row r="335" spans="1:5">
      <c r="A335" s="43">
        <v>46265</v>
      </c>
      <c r="B335" s="1" t="s">
        <v>144</v>
      </c>
      <c r="C335" s="1" t="s">
        <v>238</v>
      </c>
      <c r="D335" s="1" t="s">
        <v>222</v>
      </c>
      <c r="E335" s="36">
        <v>1</v>
      </c>
    </row>
    <row r="336" spans="1:5">
      <c r="A336" s="1" t="s">
        <v>553</v>
      </c>
      <c r="B336" s="1"/>
      <c r="C336" s="1"/>
      <c r="D336" s="1"/>
      <c r="E336" s="36">
        <v>4354</v>
      </c>
    </row>
    <row r="337" spans="1:5">
      <c r="A337" s="43">
        <v>46261</v>
      </c>
      <c r="B337" s="1" t="s">
        <v>509</v>
      </c>
      <c r="C337" s="1" t="s">
        <v>33</v>
      </c>
      <c r="D337" s="1" t="s">
        <v>24</v>
      </c>
      <c r="E337" s="36">
        <v>2000</v>
      </c>
    </row>
    <row r="338" spans="1:5">
      <c r="A338" s="1" t="s">
        <v>562</v>
      </c>
      <c r="B338" s="1"/>
      <c r="C338" s="1"/>
      <c r="D338" s="1"/>
      <c r="E338" s="36">
        <v>2000</v>
      </c>
    </row>
    <row r="339" spans="1:5">
      <c r="A339" s="43">
        <v>46275</v>
      </c>
      <c r="B339" s="1" t="s">
        <v>535</v>
      </c>
      <c r="C339" s="1" t="s">
        <v>536</v>
      </c>
      <c r="D339" s="1" t="s">
        <v>527</v>
      </c>
      <c r="E339" s="36">
        <v>1421</v>
      </c>
    </row>
    <row r="340" spans="1:5">
      <c r="A340" s="1" t="s">
        <v>563</v>
      </c>
      <c r="B340" s="1"/>
      <c r="C340" s="1"/>
      <c r="D340" s="1"/>
      <c r="E340" s="36">
        <v>1421</v>
      </c>
    </row>
    <row r="341" spans="1:5">
      <c r="A341" s="1" t="s">
        <v>159</v>
      </c>
      <c r="B341" s="1"/>
      <c r="C341" s="1"/>
      <c r="D341" s="1"/>
      <c r="E341" s="36">
        <v>112513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37099-EF99-4681-9437-6D3ACEAFBA48}">
  <sheetPr codeName="Planilha1">
    <pageSetUpPr fitToPage="1"/>
  </sheetPr>
  <dimension ref="A1:AM462"/>
  <sheetViews>
    <sheetView showGridLines="0" tabSelected="1" zoomScale="80" zoomScaleNormal="80" workbookViewId="0">
      <pane ySplit="1" topLeftCell="A2" activePane="bottomLeft" state="frozen"/>
      <selection pane="bottomLeft" activeCell="F16" sqref="F16"/>
    </sheetView>
  </sheetViews>
  <sheetFormatPr defaultColWidth="29.625" defaultRowHeight="15.75"/>
  <cols>
    <col min="1" max="1" width="11.75" style="7" customWidth="1"/>
    <col min="2" max="2" width="16.875" style="3" customWidth="1"/>
    <col min="3" max="3" width="21" style="2" bestFit="1" customWidth="1"/>
    <col min="4" max="4" width="22" style="2" bestFit="1" customWidth="1"/>
    <col min="5" max="5" width="24.375" style="2" customWidth="1"/>
    <col min="6" max="6" width="55.125" style="2" customWidth="1"/>
    <col min="7" max="7" width="18.875" style="2" hidden="1" customWidth="1"/>
    <col min="8" max="8" width="18.875" style="2" customWidth="1"/>
    <col min="9" max="9" width="16" style="2" customWidth="1"/>
    <col min="10" max="10" width="44.25" style="15" customWidth="1"/>
    <col min="11" max="11" width="15.25" style="2" customWidth="1"/>
    <col min="12" max="12" width="26.375" style="2" customWidth="1"/>
    <col min="13" max="13" width="18.875" style="5" customWidth="1"/>
    <col min="14" max="14" width="19.875" style="22" customWidth="1"/>
    <col min="15" max="15" width="29.875" style="4" customWidth="1"/>
    <col min="16" max="16" width="18.75" style="2" customWidth="1"/>
    <col min="17" max="17" width="18.625" style="2" customWidth="1"/>
    <col min="18" max="18" width="38" customWidth="1"/>
    <col min="19" max="19" width="13.125" customWidth="1"/>
    <col min="20" max="21" width="25.125" customWidth="1"/>
    <col min="22" max="26" width="10.125" customWidth="1"/>
  </cols>
  <sheetData>
    <row r="1" spans="1:39" s="6" customFormat="1" ht="36" customHeight="1">
      <c r="A1" s="10" t="s">
        <v>288</v>
      </c>
      <c r="B1" s="10" t="s">
        <v>0</v>
      </c>
      <c r="C1" s="10" t="s">
        <v>40</v>
      </c>
      <c r="D1" s="10" t="s">
        <v>157</v>
      </c>
      <c r="E1" s="10" t="s">
        <v>1</v>
      </c>
      <c r="F1" s="10" t="s">
        <v>166</v>
      </c>
      <c r="G1" s="10" t="s">
        <v>232</v>
      </c>
      <c r="H1" s="10" t="s">
        <v>478</v>
      </c>
      <c r="I1" s="10" t="s">
        <v>3</v>
      </c>
      <c r="J1" s="10" t="s">
        <v>167</v>
      </c>
      <c r="K1" s="10" t="s">
        <v>2</v>
      </c>
      <c r="L1" s="10" t="s">
        <v>484</v>
      </c>
      <c r="M1" s="10" t="s">
        <v>165</v>
      </c>
      <c r="N1" s="10" t="s">
        <v>4</v>
      </c>
      <c r="O1" s="10" t="s">
        <v>216</v>
      </c>
      <c r="P1" s="10" t="s">
        <v>448</v>
      </c>
      <c r="Q1" s="10" t="s">
        <v>164</v>
      </c>
      <c r="R1" s="10" t="s">
        <v>217</v>
      </c>
      <c r="S1" s="10" t="s">
        <v>5</v>
      </c>
      <c r="T1" s="19" t="s">
        <v>6</v>
      </c>
      <c r="U1" s="10" t="s">
        <v>447</v>
      </c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ht="15" customHeight="1">
      <c r="A2" s="48">
        <v>1</v>
      </c>
      <c r="B2" s="40">
        <v>46065</v>
      </c>
      <c r="C2" s="41" t="s">
        <v>240</v>
      </c>
      <c r="D2" s="41" t="s">
        <v>7</v>
      </c>
      <c r="E2" s="49" t="s">
        <v>509</v>
      </c>
      <c r="F2" s="41" t="s">
        <v>33</v>
      </c>
      <c r="G2" s="41" t="s">
        <v>241</v>
      </c>
      <c r="H2" s="41" t="s">
        <v>479</v>
      </c>
      <c r="I2" s="41" t="s">
        <v>24</v>
      </c>
      <c r="J2" s="46" t="str">
        <f>VLOOKUP(I2,'DESCRICAO PRODUTO'!$A:$C,2,0)</f>
        <v>BOOMBOX AWS-BBS-01-B BIVOLT</v>
      </c>
      <c r="K2" s="41" t="str">
        <f>VLOOKUP(I2,'DESCRICAO PRODUTO'!$A:$C,3,0)</f>
        <v>BBS PRETO</v>
      </c>
      <c r="L2" s="50">
        <v>1540</v>
      </c>
      <c r="M2" s="50">
        <v>1540</v>
      </c>
      <c r="N2" s="51">
        <f t="shared" ref="N2:N65" si="0">M2-L2</f>
        <v>0</v>
      </c>
      <c r="O2" s="40">
        <v>46100</v>
      </c>
      <c r="P2" s="40">
        <v>46108</v>
      </c>
      <c r="Q2" s="34" t="s">
        <v>455</v>
      </c>
      <c r="R2" s="18"/>
      <c r="S2" s="18">
        <v>29858</v>
      </c>
      <c r="T2" s="32" t="s">
        <v>341</v>
      </c>
      <c r="U2" s="33">
        <v>46128</v>
      </c>
    </row>
    <row r="3" spans="1:39" ht="15" customHeight="1">
      <c r="A3" s="48">
        <v>1</v>
      </c>
      <c r="B3" s="40">
        <v>46065</v>
      </c>
      <c r="C3" s="41" t="s">
        <v>240</v>
      </c>
      <c r="D3" s="41" t="s">
        <v>7</v>
      </c>
      <c r="E3" s="49" t="s">
        <v>162</v>
      </c>
      <c r="F3" s="41" t="s">
        <v>187</v>
      </c>
      <c r="G3" s="41" t="s">
        <v>241</v>
      </c>
      <c r="H3" s="41" t="s">
        <v>479</v>
      </c>
      <c r="I3" s="41" t="s">
        <v>140</v>
      </c>
      <c r="J3" s="46" t="str">
        <f>VLOOKUP(I3,'DESCRICAO PRODUTO'!$A:$C,2,0)</f>
        <v>BOOMBOX AWS-BBS-01-BG BIVOLT</v>
      </c>
      <c r="K3" s="41" t="str">
        <f>VLOOKUP(I3,'DESCRICAO PRODUTO'!$A:$C,3,0)</f>
        <v>BBS BG</v>
      </c>
      <c r="L3" s="50">
        <v>57</v>
      </c>
      <c r="M3" s="50">
        <v>57</v>
      </c>
      <c r="N3" s="51">
        <f t="shared" si="0"/>
        <v>0</v>
      </c>
      <c r="O3" s="40">
        <v>46100</v>
      </c>
      <c r="P3" s="40">
        <v>46108</v>
      </c>
      <c r="Q3" s="34" t="s">
        <v>455</v>
      </c>
      <c r="R3" s="18"/>
      <c r="S3" s="18">
        <v>29860</v>
      </c>
      <c r="T3" s="32" t="s">
        <v>341</v>
      </c>
      <c r="U3" s="33">
        <v>46128</v>
      </c>
    </row>
    <row r="4" spans="1:39" ht="15" customHeight="1">
      <c r="A4" s="48">
        <v>1</v>
      </c>
      <c r="B4" s="40">
        <v>46065</v>
      </c>
      <c r="C4" s="41" t="s">
        <v>240</v>
      </c>
      <c r="D4" s="41" t="s">
        <v>7</v>
      </c>
      <c r="E4" s="49" t="s">
        <v>117</v>
      </c>
      <c r="F4" s="41" t="s">
        <v>169</v>
      </c>
      <c r="G4" s="41" t="s">
        <v>241</v>
      </c>
      <c r="H4" s="41" t="s">
        <v>479</v>
      </c>
      <c r="I4" s="41" t="s">
        <v>52</v>
      </c>
      <c r="J4" s="46" t="str">
        <f>VLOOKUP(I4,'DESCRICAO PRODUTO'!$A:$C,2,0)</f>
        <v>BOOMBOX AWS-BBS-01-GR BIVOLT</v>
      </c>
      <c r="K4" s="41" t="str">
        <f>VLOOKUP(I4,'DESCRICAO PRODUTO'!$A:$C,3,0)</f>
        <v>BBS GR</v>
      </c>
      <c r="L4" s="50">
        <v>5</v>
      </c>
      <c r="M4" s="50">
        <v>5</v>
      </c>
      <c r="N4" s="51">
        <f t="shared" si="0"/>
        <v>0</v>
      </c>
      <c r="O4" s="40">
        <v>46100</v>
      </c>
      <c r="P4" s="40">
        <v>46107</v>
      </c>
      <c r="Q4" s="34" t="s">
        <v>455</v>
      </c>
      <c r="R4" s="8"/>
      <c r="S4" s="18">
        <v>29833</v>
      </c>
      <c r="T4" s="32" t="s">
        <v>337</v>
      </c>
      <c r="U4" s="33">
        <v>46127</v>
      </c>
    </row>
    <row r="5" spans="1:39" ht="15" customHeight="1">
      <c r="A5" s="48">
        <v>1</v>
      </c>
      <c r="B5" s="40">
        <v>46065</v>
      </c>
      <c r="C5" s="41" t="s">
        <v>240</v>
      </c>
      <c r="D5" s="41" t="s">
        <v>7</v>
      </c>
      <c r="E5" s="49" t="s">
        <v>120</v>
      </c>
      <c r="F5" s="41" t="s">
        <v>185</v>
      </c>
      <c r="G5" s="41" t="s">
        <v>241</v>
      </c>
      <c r="H5" s="41" t="s">
        <v>479</v>
      </c>
      <c r="I5" s="41" t="s">
        <v>65</v>
      </c>
      <c r="J5" s="46" t="str">
        <f>VLOOKUP(I5,'DESCRICAO PRODUTO'!$A:$C,2,0)</f>
        <v>BOOMBOX BX-18 BIVOLT UP ORANGE</v>
      </c>
      <c r="K5" s="41" t="str">
        <f>VLOOKUP(I5,'DESCRICAO PRODUTO'!$A:$C,3,0)</f>
        <v>BX 18</v>
      </c>
      <c r="L5" s="50">
        <v>38</v>
      </c>
      <c r="M5" s="50"/>
      <c r="N5" s="51">
        <f t="shared" si="0"/>
        <v>-38</v>
      </c>
      <c r="O5" s="40" t="s">
        <v>472</v>
      </c>
      <c r="P5" s="40" t="s">
        <v>472</v>
      </c>
      <c r="Q5" s="34" t="s">
        <v>506</v>
      </c>
      <c r="R5" s="18"/>
      <c r="S5" s="18"/>
      <c r="T5" s="32"/>
      <c r="U5" s="33"/>
    </row>
    <row r="6" spans="1:39" ht="15" customHeight="1">
      <c r="A6" s="48">
        <v>1</v>
      </c>
      <c r="B6" s="40">
        <v>46065</v>
      </c>
      <c r="C6" s="41" t="s">
        <v>240</v>
      </c>
      <c r="D6" s="41" t="s">
        <v>7</v>
      </c>
      <c r="E6" s="49" t="s">
        <v>210</v>
      </c>
      <c r="F6" s="41" t="s">
        <v>211</v>
      </c>
      <c r="G6" s="41" t="s">
        <v>241</v>
      </c>
      <c r="H6" s="41" t="s">
        <v>480</v>
      </c>
      <c r="I6" s="41" t="s">
        <v>65</v>
      </c>
      <c r="J6" s="46" t="str">
        <f>VLOOKUP(I6,'DESCRICAO PRODUTO'!$A:$C,2,0)</f>
        <v>BOOMBOX BX-18 BIVOLT UP ORANGE</v>
      </c>
      <c r="K6" s="41" t="str">
        <f>VLOOKUP(I6,'DESCRICAO PRODUTO'!$A:$C,3,0)</f>
        <v>BX 18</v>
      </c>
      <c r="L6" s="50">
        <v>10</v>
      </c>
      <c r="M6" s="50"/>
      <c r="N6" s="51">
        <f t="shared" si="0"/>
        <v>-10</v>
      </c>
      <c r="O6" s="40" t="s">
        <v>472</v>
      </c>
      <c r="P6" s="40" t="s">
        <v>472</v>
      </c>
      <c r="Q6" s="34" t="s">
        <v>506</v>
      </c>
      <c r="R6" s="18"/>
      <c r="S6" s="18"/>
      <c r="T6" s="32"/>
      <c r="U6" s="33"/>
    </row>
    <row r="7" spans="1:39" ht="15" customHeight="1">
      <c r="A7" s="48">
        <v>1</v>
      </c>
      <c r="B7" s="40">
        <v>46065</v>
      </c>
      <c r="C7" s="41" t="s">
        <v>240</v>
      </c>
      <c r="D7" s="41" t="s">
        <v>7</v>
      </c>
      <c r="E7" s="49" t="s">
        <v>120</v>
      </c>
      <c r="F7" s="41" t="s">
        <v>185</v>
      </c>
      <c r="G7" s="41" t="s">
        <v>241</v>
      </c>
      <c r="H7" s="41" t="s">
        <v>479</v>
      </c>
      <c r="I7" s="41" t="s">
        <v>101</v>
      </c>
      <c r="J7" s="46" t="str">
        <f>VLOOKUP(I7,'DESCRICAO PRODUTO'!$A:$C,2,0)</f>
        <v>BOOMBOX BX-18 BIVOLT UP ORANGE</v>
      </c>
      <c r="K7" s="41" t="str">
        <f>VLOOKUP(I7,'DESCRICAO PRODUTO'!$A:$C,3,0)</f>
        <v>BX 18</v>
      </c>
      <c r="L7" s="50">
        <v>4</v>
      </c>
      <c r="M7" s="50"/>
      <c r="N7" s="51">
        <f t="shared" si="0"/>
        <v>-4</v>
      </c>
      <c r="O7" s="40" t="s">
        <v>472</v>
      </c>
      <c r="P7" s="40" t="s">
        <v>472</v>
      </c>
      <c r="Q7" s="34" t="s">
        <v>506</v>
      </c>
      <c r="R7" s="18"/>
      <c r="S7" s="18"/>
      <c r="T7" s="32"/>
      <c r="U7" s="33"/>
    </row>
    <row r="8" spans="1:39" ht="15" customHeight="1">
      <c r="A8" s="48">
        <v>1</v>
      </c>
      <c r="B8" s="40">
        <v>46065</v>
      </c>
      <c r="C8" s="41" t="s">
        <v>240</v>
      </c>
      <c r="D8" s="41" t="s">
        <v>7</v>
      </c>
      <c r="E8" s="49" t="s">
        <v>210</v>
      </c>
      <c r="F8" s="41" t="s">
        <v>211</v>
      </c>
      <c r="G8" s="41" t="s">
        <v>241</v>
      </c>
      <c r="H8" s="41" t="s">
        <v>480</v>
      </c>
      <c r="I8" s="41" t="s">
        <v>101</v>
      </c>
      <c r="J8" s="46" t="str">
        <f>VLOOKUP(I8,'DESCRICAO PRODUTO'!$A:$C,2,0)</f>
        <v>BOOMBOX BX-18 BIVOLT UP ORANGE</v>
      </c>
      <c r="K8" s="41" t="str">
        <f>VLOOKUP(I8,'DESCRICAO PRODUTO'!$A:$C,3,0)</f>
        <v>BX 18</v>
      </c>
      <c r="L8" s="50">
        <v>1</v>
      </c>
      <c r="M8" s="50"/>
      <c r="N8" s="51">
        <f t="shared" si="0"/>
        <v>-1</v>
      </c>
      <c r="O8" s="40" t="s">
        <v>472</v>
      </c>
      <c r="P8" s="40" t="s">
        <v>472</v>
      </c>
      <c r="Q8" s="34" t="s">
        <v>506</v>
      </c>
      <c r="R8" s="18"/>
      <c r="S8" s="18"/>
      <c r="T8" s="32"/>
      <c r="U8" s="33"/>
    </row>
    <row r="9" spans="1:39" ht="15" customHeight="1">
      <c r="A9" s="48">
        <v>1</v>
      </c>
      <c r="B9" s="40">
        <v>46065</v>
      </c>
      <c r="C9" s="41" t="s">
        <v>240</v>
      </c>
      <c r="D9" s="41" t="s">
        <v>7</v>
      </c>
      <c r="E9" s="49" t="s">
        <v>210</v>
      </c>
      <c r="F9" s="41" t="s">
        <v>211</v>
      </c>
      <c r="G9" s="41" t="s">
        <v>241</v>
      </c>
      <c r="H9" s="41" t="s">
        <v>480</v>
      </c>
      <c r="I9" s="41" t="s">
        <v>63</v>
      </c>
      <c r="J9" s="46" t="str">
        <f>VLOOKUP(I9,'DESCRICAO PRODUTO'!$A:$C,2,0)</f>
        <v>BOOMBOX BX-18 BIVOLT UP ORANGE</v>
      </c>
      <c r="K9" s="41" t="str">
        <f>VLOOKUP(I9,'DESCRICAO PRODUTO'!$A:$C,3,0)</f>
        <v>BX 18</v>
      </c>
      <c r="L9" s="50">
        <v>5</v>
      </c>
      <c r="M9" s="50"/>
      <c r="N9" s="51">
        <f t="shared" si="0"/>
        <v>-5</v>
      </c>
      <c r="O9" s="40" t="s">
        <v>472</v>
      </c>
      <c r="P9" s="40" t="s">
        <v>472</v>
      </c>
      <c r="Q9" s="34" t="s">
        <v>506</v>
      </c>
      <c r="R9" s="18"/>
      <c r="S9" s="18"/>
      <c r="T9" s="32"/>
      <c r="U9" s="33"/>
    </row>
    <row r="10" spans="1:39" ht="15" customHeight="1">
      <c r="A10" s="48">
        <v>1</v>
      </c>
      <c r="B10" s="40">
        <v>46065</v>
      </c>
      <c r="C10" s="41" t="s">
        <v>240</v>
      </c>
      <c r="D10" s="41" t="s">
        <v>7</v>
      </c>
      <c r="E10" s="49" t="s">
        <v>127</v>
      </c>
      <c r="F10" s="41" t="s">
        <v>177</v>
      </c>
      <c r="G10" s="41" t="s">
        <v>241</v>
      </c>
      <c r="H10" s="41" t="s">
        <v>479</v>
      </c>
      <c r="I10" s="41" t="s">
        <v>102</v>
      </c>
      <c r="J10" s="46" t="str">
        <f>VLOOKUP(I10,'DESCRICAO PRODUTO'!$A:$C,2,0)</f>
        <v>BOOMBOX BX-19 BIVOLT UP DYNAMIC</v>
      </c>
      <c r="K10" s="41" t="str">
        <f>VLOOKUP(I10,'DESCRICAO PRODUTO'!$A:$C,3,0)</f>
        <v>BX 19</v>
      </c>
      <c r="L10" s="50">
        <v>10</v>
      </c>
      <c r="M10" s="50"/>
      <c r="N10" s="51">
        <f t="shared" si="0"/>
        <v>-10</v>
      </c>
      <c r="O10" s="40" t="s">
        <v>472</v>
      </c>
      <c r="P10" s="40" t="s">
        <v>472</v>
      </c>
      <c r="Q10" s="34" t="s">
        <v>506</v>
      </c>
      <c r="R10" s="18"/>
      <c r="S10" s="18"/>
      <c r="T10" s="32"/>
      <c r="U10" s="33"/>
    </row>
    <row r="11" spans="1:39" ht="15" customHeight="1">
      <c r="A11" s="48">
        <v>1</v>
      </c>
      <c r="B11" s="40">
        <v>46065</v>
      </c>
      <c r="C11" s="41" t="s">
        <v>240</v>
      </c>
      <c r="D11" s="41" t="s">
        <v>7</v>
      </c>
      <c r="E11" s="49" t="s">
        <v>210</v>
      </c>
      <c r="F11" s="41" t="s">
        <v>211</v>
      </c>
      <c r="G11" s="41" t="s">
        <v>241</v>
      </c>
      <c r="H11" s="41" t="s">
        <v>480</v>
      </c>
      <c r="I11" s="41" t="s">
        <v>102</v>
      </c>
      <c r="J11" s="46" t="str">
        <f>VLOOKUP(I11,'DESCRICAO PRODUTO'!$A:$C,2,0)</f>
        <v>BOOMBOX BX-19 BIVOLT UP DYNAMIC</v>
      </c>
      <c r="K11" s="41" t="str">
        <f>VLOOKUP(I11,'DESCRICAO PRODUTO'!$A:$C,3,0)</f>
        <v>BX 19</v>
      </c>
      <c r="L11" s="50">
        <v>3</v>
      </c>
      <c r="M11" s="50"/>
      <c r="N11" s="51">
        <f t="shared" si="0"/>
        <v>-3</v>
      </c>
      <c r="O11" s="40" t="s">
        <v>472</v>
      </c>
      <c r="P11" s="40" t="s">
        <v>472</v>
      </c>
      <c r="Q11" s="34" t="s">
        <v>506</v>
      </c>
      <c r="R11" s="18"/>
      <c r="S11" s="18"/>
      <c r="T11" s="32"/>
      <c r="U11" s="33"/>
    </row>
    <row r="12" spans="1:39" ht="15" customHeight="1">
      <c r="A12" s="48">
        <v>1</v>
      </c>
      <c r="B12" s="40">
        <v>46065</v>
      </c>
      <c r="C12" s="41" t="s">
        <v>240</v>
      </c>
      <c r="D12" s="41" t="s">
        <v>7</v>
      </c>
      <c r="E12" s="49" t="s">
        <v>127</v>
      </c>
      <c r="F12" s="41" t="s">
        <v>177</v>
      </c>
      <c r="G12" s="41" t="s">
        <v>241</v>
      </c>
      <c r="H12" s="41" t="s">
        <v>479</v>
      </c>
      <c r="I12" s="41" t="s">
        <v>103</v>
      </c>
      <c r="J12" s="46" t="str">
        <f>VLOOKUP(I12,'DESCRICAO PRODUTO'!$A:$C,2,0)</f>
        <v>BOOMBOX BX-19 BIVOLT UP DYNAMIC</v>
      </c>
      <c r="K12" s="41" t="str">
        <f>VLOOKUP(I12,'DESCRICAO PRODUTO'!$A:$C,3,0)</f>
        <v>BX 19</v>
      </c>
      <c r="L12" s="50">
        <v>2</v>
      </c>
      <c r="M12" s="50"/>
      <c r="N12" s="51">
        <f t="shared" si="0"/>
        <v>-2</v>
      </c>
      <c r="O12" s="40" t="s">
        <v>472</v>
      </c>
      <c r="P12" s="40" t="s">
        <v>472</v>
      </c>
      <c r="Q12" s="34" t="s">
        <v>506</v>
      </c>
      <c r="R12" s="18"/>
      <c r="S12" s="18"/>
      <c r="T12" s="32"/>
      <c r="U12" s="33"/>
    </row>
    <row r="13" spans="1:39" ht="15" customHeight="1">
      <c r="A13" s="48">
        <v>1</v>
      </c>
      <c r="B13" s="40">
        <v>46065</v>
      </c>
      <c r="C13" s="41" t="s">
        <v>240</v>
      </c>
      <c r="D13" s="41" t="s">
        <v>7</v>
      </c>
      <c r="E13" s="49" t="s">
        <v>210</v>
      </c>
      <c r="F13" s="41" t="s">
        <v>211</v>
      </c>
      <c r="G13" s="41" t="s">
        <v>241</v>
      </c>
      <c r="H13" s="41" t="s">
        <v>480</v>
      </c>
      <c r="I13" s="41" t="s">
        <v>103</v>
      </c>
      <c r="J13" s="46" t="str">
        <f>VLOOKUP(I13,'DESCRICAO PRODUTO'!$A:$C,2,0)</f>
        <v>BOOMBOX BX-19 BIVOLT UP DYNAMIC</v>
      </c>
      <c r="K13" s="41" t="str">
        <f>VLOOKUP(I13,'DESCRICAO PRODUTO'!$A:$C,3,0)</f>
        <v>BX 19</v>
      </c>
      <c r="L13" s="50">
        <v>2</v>
      </c>
      <c r="M13" s="50"/>
      <c r="N13" s="51">
        <f t="shared" si="0"/>
        <v>-2</v>
      </c>
      <c r="O13" s="40" t="s">
        <v>472</v>
      </c>
      <c r="P13" s="40" t="s">
        <v>472</v>
      </c>
      <c r="Q13" s="34" t="s">
        <v>506</v>
      </c>
      <c r="R13" s="18"/>
      <c r="S13" s="18"/>
      <c r="T13" s="32"/>
      <c r="U13" s="33"/>
    </row>
    <row r="14" spans="1:39" ht="15" customHeight="1">
      <c r="A14" s="48">
        <v>1</v>
      </c>
      <c r="B14" s="40">
        <v>46065</v>
      </c>
      <c r="C14" s="41" t="s">
        <v>240</v>
      </c>
      <c r="D14" s="41" t="s">
        <v>7</v>
      </c>
      <c r="E14" s="49" t="s">
        <v>122</v>
      </c>
      <c r="F14" s="41" t="s">
        <v>174</v>
      </c>
      <c r="G14" s="41" t="s">
        <v>241</v>
      </c>
      <c r="H14" s="41" t="s">
        <v>479</v>
      </c>
      <c r="I14" s="41" t="s">
        <v>68</v>
      </c>
      <c r="J14" s="46" t="str">
        <f>VLOOKUP(I14,'DESCRICAO PRODUTO'!$A:$C,2,0)</f>
        <v>BOOMBOX BX-21ML BIVOLT .</v>
      </c>
      <c r="K14" s="41" t="str">
        <f>VLOOKUP(I14,'DESCRICAO PRODUTO'!$A:$C,3,0)</f>
        <v>BX 21</v>
      </c>
      <c r="L14" s="50">
        <v>73</v>
      </c>
      <c r="M14" s="50"/>
      <c r="N14" s="51">
        <f t="shared" si="0"/>
        <v>-73</v>
      </c>
      <c r="O14" s="40" t="s">
        <v>472</v>
      </c>
      <c r="P14" s="40" t="s">
        <v>472</v>
      </c>
      <c r="Q14" s="34" t="s">
        <v>506</v>
      </c>
      <c r="R14" s="18"/>
      <c r="S14" s="18"/>
      <c r="T14" s="32"/>
      <c r="U14" s="33"/>
    </row>
    <row r="15" spans="1:39" ht="15" customHeight="1">
      <c r="A15" s="48">
        <v>1</v>
      </c>
      <c r="B15" s="40">
        <v>46065</v>
      </c>
      <c r="C15" s="41" t="s">
        <v>240</v>
      </c>
      <c r="D15" s="41" t="s">
        <v>7</v>
      </c>
      <c r="E15" s="49" t="s">
        <v>210</v>
      </c>
      <c r="F15" s="41" t="s">
        <v>211</v>
      </c>
      <c r="G15" s="41" t="s">
        <v>241</v>
      </c>
      <c r="H15" s="41" t="s">
        <v>480</v>
      </c>
      <c r="I15" s="41" t="s">
        <v>68</v>
      </c>
      <c r="J15" s="46" t="str">
        <f>VLOOKUP(I15,'DESCRICAO PRODUTO'!$A:$C,2,0)</f>
        <v>BOOMBOX BX-21ML BIVOLT .</v>
      </c>
      <c r="K15" s="41" t="str">
        <f>VLOOKUP(I15,'DESCRICAO PRODUTO'!$A:$C,3,0)</f>
        <v>BX 21</v>
      </c>
      <c r="L15" s="50">
        <v>21</v>
      </c>
      <c r="M15" s="50"/>
      <c r="N15" s="51">
        <f t="shared" si="0"/>
        <v>-21</v>
      </c>
      <c r="O15" s="40" t="s">
        <v>472</v>
      </c>
      <c r="P15" s="40" t="s">
        <v>472</v>
      </c>
      <c r="Q15" s="34" t="s">
        <v>506</v>
      </c>
      <c r="R15" s="18"/>
      <c r="S15" s="18"/>
      <c r="T15" s="32"/>
      <c r="U15" s="33"/>
    </row>
    <row r="16" spans="1:39" ht="15" customHeight="1">
      <c r="A16" s="48">
        <v>1</v>
      </c>
      <c r="B16" s="40">
        <v>46065</v>
      </c>
      <c r="C16" s="41" t="s">
        <v>240</v>
      </c>
      <c r="D16" s="41" t="s">
        <v>7</v>
      </c>
      <c r="E16" s="49" t="s">
        <v>122</v>
      </c>
      <c r="F16" s="41" t="s">
        <v>174</v>
      </c>
      <c r="G16" s="41" t="s">
        <v>241</v>
      </c>
      <c r="H16" s="41" t="s">
        <v>479</v>
      </c>
      <c r="I16" s="41" t="s">
        <v>104</v>
      </c>
      <c r="J16" s="46" t="str">
        <f>VLOOKUP(I16,'DESCRICAO PRODUTO'!$A:$C,2,0)</f>
        <v>BOOMBOX BX-21ML BIVOLT .</v>
      </c>
      <c r="K16" s="41" t="str">
        <f>VLOOKUP(I16,'DESCRICAO PRODUTO'!$A:$C,3,0)</f>
        <v>BX 21</v>
      </c>
      <c r="L16" s="50">
        <v>37</v>
      </c>
      <c r="M16" s="50"/>
      <c r="N16" s="51">
        <f t="shared" si="0"/>
        <v>-37</v>
      </c>
      <c r="O16" s="40" t="s">
        <v>472</v>
      </c>
      <c r="P16" s="40" t="s">
        <v>472</v>
      </c>
      <c r="Q16" s="34" t="s">
        <v>506</v>
      </c>
      <c r="R16" s="18"/>
      <c r="S16" s="18"/>
      <c r="T16" s="32"/>
      <c r="U16" s="33"/>
    </row>
    <row r="17" spans="1:21" ht="15" customHeight="1">
      <c r="A17" s="48">
        <v>1</v>
      </c>
      <c r="B17" s="40">
        <v>46065</v>
      </c>
      <c r="C17" s="41" t="s">
        <v>240</v>
      </c>
      <c r="D17" s="41" t="s">
        <v>7</v>
      </c>
      <c r="E17" s="49" t="s">
        <v>210</v>
      </c>
      <c r="F17" s="41" t="s">
        <v>211</v>
      </c>
      <c r="G17" s="41" t="s">
        <v>241</v>
      </c>
      <c r="H17" s="41" t="s">
        <v>480</v>
      </c>
      <c r="I17" s="41" t="s">
        <v>104</v>
      </c>
      <c r="J17" s="46" t="str">
        <f>VLOOKUP(I17,'DESCRICAO PRODUTO'!$A:$C,2,0)</f>
        <v>BOOMBOX BX-21ML BIVOLT .</v>
      </c>
      <c r="K17" s="41" t="str">
        <f>VLOOKUP(I17,'DESCRICAO PRODUTO'!$A:$C,3,0)</f>
        <v>BX 21</v>
      </c>
      <c r="L17" s="50">
        <v>10</v>
      </c>
      <c r="M17" s="50"/>
      <c r="N17" s="51">
        <f t="shared" si="0"/>
        <v>-10</v>
      </c>
      <c r="O17" s="40" t="s">
        <v>472</v>
      </c>
      <c r="P17" s="40" t="s">
        <v>472</v>
      </c>
      <c r="Q17" s="34" t="s">
        <v>506</v>
      </c>
      <c r="R17" s="18"/>
      <c r="S17" s="18"/>
      <c r="T17" s="32"/>
      <c r="U17" s="33"/>
    </row>
    <row r="18" spans="1:21" ht="15" customHeight="1">
      <c r="A18" s="48">
        <v>1</v>
      </c>
      <c r="B18" s="40">
        <v>46065</v>
      </c>
      <c r="C18" s="41" t="s">
        <v>240</v>
      </c>
      <c r="D18" s="41" t="s">
        <v>7</v>
      </c>
      <c r="E18" s="49" t="s">
        <v>123</v>
      </c>
      <c r="F18" s="41" t="s">
        <v>183</v>
      </c>
      <c r="G18" s="41" t="s">
        <v>241</v>
      </c>
      <c r="H18" s="41" t="s">
        <v>479</v>
      </c>
      <c r="I18" s="41" t="s">
        <v>86</v>
      </c>
      <c r="J18" s="46" t="str">
        <f>VLOOKUP(I18,'DESCRICAO PRODUTO'!$A:$C,2,0)</f>
        <v>BOOMBOX C/ LUZES AWS-BBS-01-LBL BIVOLT</v>
      </c>
      <c r="K18" s="41" t="str">
        <f>VLOOKUP(I18,'DESCRICAO PRODUTO'!$A:$C,3,0)</f>
        <v>BBS LBL</v>
      </c>
      <c r="L18" s="50">
        <v>118</v>
      </c>
      <c r="M18" s="50">
        <v>118</v>
      </c>
      <c r="N18" s="51">
        <f t="shared" si="0"/>
        <v>0</v>
      </c>
      <c r="O18" s="40">
        <v>46100</v>
      </c>
      <c r="P18" s="40">
        <v>46107</v>
      </c>
      <c r="Q18" s="34" t="s">
        <v>455</v>
      </c>
      <c r="R18" s="8"/>
      <c r="S18" s="18">
        <v>29833</v>
      </c>
      <c r="T18" s="32" t="s">
        <v>337</v>
      </c>
      <c r="U18" s="33">
        <v>46127</v>
      </c>
    </row>
    <row r="19" spans="1:21" ht="15" customHeight="1">
      <c r="A19" s="48">
        <v>1</v>
      </c>
      <c r="B19" s="40">
        <v>46065</v>
      </c>
      <c r="C19" s="41" t="s">
        <v>240</v>
      </c>
      <c r="D19" s="41" t="s">
        <v>7</v>
      </c>
      <c r="E19" s="49" t="s">
        <v>121</v>
      </c>
      <c r="F19" s="41" t="s">
        <v>186</v>
      </c>
      <c r="G19" s="41" t="s">
        <v>241</v>
      </c>
      <c r="H19" s="41" t="s">
        <v>479</v>
      </c>
      <c r="I19" s="41" t="s">
        <v>66</v>
      </c>
      <c r="J19" s="46" t="str">
        <f>VLOOKUP(I19,'DESCRICAO PRODUTO'!$A:$C,2,0)</f>
        <v>BOOMBOX NBX-13 BIVOLT UP BLACK</v>
      </c>
      <c r="K19" s="41" t="str">
        <f>VLOOKUP(I19,'DESCRICAO PRODUTO'!$A:$C,3,0)</f>
        <v>BX 13</v>
      </c>
      <c r="L19" s="50">
        <v>172</v>
      </c>
      <c r="M19" s="50"/>
      <c r="N19" s="51">
        <f t="shared" si="0"/>
        <v>-172</v>
      </c>
      <c r="O19" s="40" t="s">
        <v>472</v>
      </c>
      <c r="P19" s="40" t="s">
        <v>472</v>
      </c>
      <c r="Q19" s="34" t="s">
        <v>506</v>
      </c>
      <c r="R19" s="18"/>
      <c r="S19" s="18"/>
      <c r="T19" s="32"/>
      <c r="U19" s="33"/>
    </row>
    <row r="20" spans="1:21" ht="15" customHeight="1">
      <c r="A20" s="48">
        <v>1</v>
      </c>
      <c r="B20" s="40">
        <v>46065</v>
      </c>
      <c r="C20" s="41" t="s">
        <v>240</v>
      </c>
      <c r="D20" s="41" t="s">
        <v>7</v>
      </c>
      <c r="E20" s="49" t="s">
        <v>121</v>
      </c>
      <c r="F20" s="41" t="s">
        <v>186</v>
      </c>
      <c r="G20" s="41" t="s">
        <v>241</v>
      </c>
      <c r="H20" s="41" t="s">
        <v>479</v>
      </c>
      <c r="I20" s="41" t="s">
        <v>66</v>
      </c>
      <c r="J20" s="46" t="str">
        <f>VLOOKUP(I20,'DESCRICAO PRODUTO'!$A:$C,2,0)</f>
        <v>BOOMBOX NBX-13 BIVOLT UP BLACK</v>
      </c>
      <c r="K20" s="41" t="str">
        <f>VLOOKUP(I20,'DESCRICAO PRODUTO'!$A:$C,3,0)</f>
        <v>BX 13</v>
      </c>
      <c r="L20" s="50">
        <v>46</v>
      </c>
      <c r="M20" s="50"/>
      <c r="N20" s="51">
        <f t="shared" si="0"/>
        <v>-46</v>
      </c>
      <c r="O20" s="40" t="s">
        <v>472</v>
      </c>
      <c r="P20" s="40" t="s">
        <v>472</v>
      </c>
      <c r="Q20" s="34" t="s">
        <v>506</v>
      </c>
      <c r="R20" s="18"/>
      <c r="S20" s="18"/>
      <c r="T20" s="32"/>
      <c r="U20" s="33"/>
    </row>
    <row r="21" spans="1:21" ht="15" customHeight="1">
      <c r="A21" s="48">
        <v>1</v>
      </c>
      <c r="B21" s="40">
        <v>46065</v>
      </c>
      <c r="C21" s="41" t="s">
        <v>240</v>
      </c>
      <c r="D21" s="41" t="s">
        <v>7</v>
      </c>
      <c r="E21" s="49" t="s">
        <v>121</v>
      </c>
      <c r="F21" s="41" t="s">
        <v>186</v>
      </c>
      <c r="G21" s="41" t="s">
        <v>241</v>
      </c>
      <c r="H21" s="41" t="s">
        <v>479</v>
      </c>
      <c r="I21" s="41" t="s">
        <v>234</v>
      </c>
      <c r="J21" s="46" t="str">
        <f>VLOOKUP(I21,'DESCRICAO PRODUTO'!$A:$C,2,0)</f>
        <v>BOOMBOX NBX-13 BIVOLT UP BLACK</v>
      </c>
      <c r="K21" s="41" t="str">
        <f>VLOOKUP(I21,'DESCRICAO PRODUTO'!$A:$C,3,0)</f>
        <v>BX 13</v>
      </c>
      <c r="L21" s="50">
        <v>36</v>
      </c>
      <c r="M21" s="50"/>
      <c r="N21" s="51">
        <f t="shared" si="0"/>
        <v>-36</v>
      </c>
      <c r="O21" s="40" t="s">
        <v>472</v>
      </c>
      <c r="P21" s="40" t="s">
        <v>472</v>
      </c>
      <c r="Q21" s="34" t="s">
        <v>506</v>
      </c>
      <c r="R21" s="18"/>
      <c r="S21" s="18"/>
      <c r="T21" s="32"/>
      <c r="U21" s="33"/>
    </row>
    <row r="22" spans="1:21" ht="15" customHeight="1">
      <c r="A22" s="48">
        <v>1</v>
      </c>
      <c r="B22" s="40">
        <v>46065</v>
      </c>
      <c r="C22" s="41" t="s">
        <v>240</v>
      </c>
      <c r="D22" s="41" t="s">
        <v>7</v>
      </c>
      <c r="E22" s="49" t="s">
        <v>210</v>
      </c>
      <c r="F22" s="41" t="s">
        <v>211</v>
      </c>
      <c r="G22" s="41" t="s">
        <v>241</v>
      </c>
      <c r="H22" s="41" t="s">
        <v>480</v>
      </c>
      <c r="I22" s="41" t="s">
        <v>234</v>
      </c>
      <c r="J22" s="46" t="str">
        <f>VLOOKUP(I22,'DESCRICAO PRODUTO'!$A:$C,2,0)</f>
        <v>BOOMBOX NBX-13 BIVOLT UP BLACK</v>
      </c>
      <c r="K22" s="41" t="str">
        <f>VLOOKUP(I22,'DESCRICAO PRODUTO'!$A:$C,3,0)</f>
        <v>BX 13</v>
      </c>
      <c r="L22" s="50">
        <v>12</v>
      </c>
      <c r="M22" s="50"/>
      <c r="N22" s="51">
        <f t="shared" si="0"/>
        <v>-12</v>
      </c>
      <c r="O22" s="40" t="s">
        <v>472</v>
      </c>
      <c r="P22" s="40" t="s">
        <v>472</v>
      </c>
      <c r="Q22" s="34" t="s">
        <v>506</v>
      </c>
      <c r="R22" s="18"/>
      <c r="S22" s="18"/>
      <c r="T22" s="32"/>
      <c r="U22" s="33"/>
    </row>
    <row r="23" spans="1:21" ht="15" customHeight="1">
      <c r="A23" s="48">
        <v>1</v>
      </c>
      <c r="B23" s="40">
        <v>46065</v>
      </c>
      <c r="C23" s="41" t="s">
        <v>240</v>
      </c>
      <c r="D23" s="41" t="s">
        <v>7</v>
      </c>
      <c r="E23" s="49" t="s">
        <v>131</v>
      </c>
      <c r="F23" s="41" t="s">
        <v>181</v>
      </c>
      <c r="G23" s="41" t="s">
        <v>241</v>
      </c>
      <c r="H23" s="41" t="s">
        <v>479</v>
      </c>
      <c r="I23" s="41" t="s">
        <v>108</v>
      </c>
      <c r="J23" s="46" t="str">
        <f>VLOOKUP(I23,'DESCRICAO PRODUTO'!$A:$C,2,0)</f>
        <v>CAIXA AMPLIFICADA CM-13 BIVOLT .</v>
      </c>
      <c r="K23" s="41" t="str">
        <f>VLOOKUP(I23,'DESCRICAO PRODUTO'!$A:$C,3,0)</f>
        <v>CM 13</v>
      </c>
      <c r="L23" s="50">
        <v>1</v>
      </c>
      <c r="M23" s="50"/>
      <c r="N23" s="51">
        <f t="shared" si="0"/>
        <v>-1</v>
      </c>
      <c r="O23" s="40" t="s">
        <v>472</v>
      </c>
      <c r="P23" s="40" t="s">
        <v>472</v>
      </c>
      <c r="Q23" s="34" t="s">
        <v>506</v>
      </c>
      <c r="R23" s="18"/>
      <c r="S23" s="18"/>
      <c r="T23" s="32"/>
      <c r="U23" s="33"/>
    </row>
    <row r="24" spans="1:21" ht="15" customHeight="1">
      <c r="A24" s="48">
        <v>1</v>
      </c>
      <c r="B24" s="40">
        <v>46065</v>
      </c>
      <c r="C24" s="41" t="s">
        <v>240</v>
      </c>
      <c r="D24" s="41" t="s">
        <v>7</v>
      </c>
      <c r="E24" s="49" t="s">
        <v>301</v>
      </c>
      <c r="F24" s="41" t="s">
        <v>319</v>
      </c>
      <c r="G24" s="41" t="s">
        <v>241</v>
      </c>
      <c r="H24" s="41" t="s">
        <v>479</v>
      </c>
      <c r="I24" s="41" t="s">
        <v>243</v>
      </c>
      <c r="J24" s="46" t="str">
        <f>VLOOKUP(I24,'DESCRICAO PRODUTO'!$A:$C,2,0)</f>
        <v>CAIXA AMPLIFICADA CM-14 BIVOLT .</v>
      </c>
      <c r="K24" s="41" t="str">
        <f>VLOOKUP(I24,'DESCRICAO PRODUTO'!$A:$C,3,0)</f>
        <v>CM 14</v>
      </c>
      <c r="L24" s="50">
        <v>1</v>
      </c>
      <c r="M24" s="50"/>
      <c r="N24" s="51">
        <f t="shared" si="0"/>
        <v>-1</v>
      </c>
      <c r="O24" s="40" t="s">
        <v>472</v>
      </c>
      <c r="P24" s="40" t="s">
        <v>472</v>
      </c>
      <c r="Q24" s="34" t="s">
        <v>506</v>
      </c>
      <c r="R24" s="18"/>
      <c r="S24" s="18"/>
      <c r="T24" s="32"/>
      <c r="U24" s="33"/>
    </row>
    <row r="25" spans="1:21" ht="15" customHeight="1">
      <c r="A25" s="48">
        <v>1</v>
      </c>
      <c r="B25" s="40">
        <v>46065</v>
      </c>
      <c r="C25" s="41" t="s">
        <v>240</v>
      </c>
      <c r="D25" s="41" t="s">
        <v>7</v>
      </c>
      <c r="E25" s="49" t="s">
        <v>219</v>
      </c>
      <c r="F25" s="41" t="s">
        <v>498</v>
      </c>
      <c r="G25" s="41" t="s">
        <v>241</v>
      </c>
      <c r="H25" s="41" t="s">
        <v>480</v>
      </c>
      <c r="I25" s="41" t="s">
        <v>70</v>
      </c>
      <c r="J25" s="46" t="str">
        <f>VLOOKUP(I25,'DESCRICAO PRODUTO'!$A:$C,2,0)</f>
        <v>CAIXA AMPLIFICADA CM-150 BIVOLT .</v>
      </c>
      <c r="K25" s="41" t="str">
        <f>VLOOKUP(I25,'DESCRICAO PRODUTO'!$A:$C,3,0)</f>
        <v>CM150</v>
      </c>
      <c r="L25" s="50">
        <v>200</v>
      </c>
      <c r="M25" s="50"/>
      <c r="N25" s="51">
        <f t="shared" si="0"/>
        <v>-200</v>
      </c>
      <c r="O25" s="40"/>
      <c r="P25" s="40"/>
      <c r="Q25" s="34" t="s">
        <v>4</v>
      </c>
      <c r="R25" s="18" t="s">
        <v>549</v>
      </c>
      <c r="S25" s="18"/>
      <c r="T25" s="32"/>
      <c r="U25" s="33"/>
    </row>
    <row r="26" spans="1:21" ht="15" customHeight="1">
      <c r="A26" s="48">
        <v>1</v>
      </c>
      <c r="B26" s="40">
        <v>46065</v>
      </c>
      <c r="C26" s="41" t="s">
        <v>240</v>
      </c>
      <c r="D26" s="41" t="s">
        <v>7</v>
      </c>
      <c r="E26" s="49" t="s">
        <v>35</v>
      </c>
      <c r="F26" s="41" t="s">
        <v>36</v>
      </c>
      <c r="G26" s="41" t="s">
        <v>241</v>
      </c>
      <c r="H26" s="41" t="s">
        <v>479</v>
      </c>
      <c r="I26" s="41" t="s">
        <v>25</v>
      </c>
      <c r="J26" s="46" t="str">
        <f>VLOOKUP(I26,'DESCRICAO PRODUTO'!$A:$C,2,0)</f>
        <v>CAIXA AMPLIFICADA CM-150 BIVOLT .</v>
      </c>
      <c r="K26" s="41" t="str">
        <f>VLOOKUP(I26,'DESCRICAO PRODUTO'!$A:$C,3,0)</f>
        <v>CM150</v>
      </c>
      <c r="L26" s="50">
        <v>580</v>
      </c>
      <c r="M26" s="50">
        <v>580</v>
      </c>
      <c r="N26" s="51">
        <f t="shared" si="0"/>
        <v>0</v>
      </c>
      <c r="O26" s="40">
        <v>46153</v>
      </c>
      <c r="P26" s="40">
        <v>46160</v>
      </c>
      <c r="Q26" s="34" t="s">
        <v>455</v>
      </c>
      <c r="R26" s="18"/>
      <c r="S26" s="18">
        <v>30305</v>
      </c>
      <c r="T26" s="32" t="s">
        <v>463</v>
      </c>
      <c r="U26" s="33">
        <v>46184</v>
      </c>
    </row>
    <row r="27" spans="1:21" ht="15" customHeight="1">
      <c r="A27" s="48">
        <v>1</v>
      </c>
      <c r="B27" s="40">
        <v>46065</v>
      </c>
      <c r="C27" s="41" t="s">
        <v>240</v>
      </c>
      <c r="D27" s="41" t="s">
        <v>7</v>
      </c>
      <c r="E27" s="49" t="s">
        <v>219</v>
      </c>
      <c r="F27" s="41" t="s">
        <v>498</v>
      </c>
      <c r="G27" s="41" t="s">
        <v>241</v>
      </c>
      <c r="H27" s="41" t="s">
        <v>480</v>
      </c>
      <c r="I27" s="41" t="s">
        <v>25</v>
      </c>
      <c r="J27" s="46" t="str">
        <f>VLOOKUP(I27,'DESCRICAO PRODUTO'!$A:$C,2,0)</f>
        <v>CAIXA AMPLIFICADA CM-150 BIVOLT .</v>
      </c>
      <c r="K27" s="41" t="str">
        <f>VLOOKUP(I27,'DESCRICAO PRODUTO'!$A:$C,3,0)</f>
        <v>CM150</v>
      </c>
      <c r="L27" s="50">
        <v>406</v>
      </c>
      <c r="M27" s="50"/>
      <c r="N27" s="51">
        <f t="shared" si="0"/>
        <v>-406</v>
      </c>
      <c r="O27" s="40"/>
      <c r="P27" s="40"/>
      <c r="Q27" s="34" t="s">
        <v>4</v>
      </c>
      <c r="R27" s="18" t="s">
        <v>549</v>
      </c>
      <c r="S27" s="18"/>
      <c r="T27" s="32"/>
      <c r="U27" s="33"/>
    </row>
    <row r="28" spans="1:21" ht="15" customHeight="1">
      <c r="A28" s="48">
        <v>1</v>
      </c>
      <c r="B28" s="40">
        <v>46065</v>
      </c>
      <c r="C28" s="41" t="s">
        <v>240</v>
      </c>
      <c r="D28" s="41" t="s">
        <v>7</v>
      </c>
      <c r="E28" s="49" t="s">
        <v>128</v>
      </c>
      <c r="F28" s="41" t="s">
        <v>178</v>
      </c>
      <c r="G28" s="41" t="s">
        <v>241</v>
      </c>
      <c r="H28" s="41" t="s">
        <v>479</v>
      </c>
      <c r="I28" s="52" t="s">
        <v>105</v>
      </c>
      <c r="J28" s="46" t="str">
        <f>VLOOKUP(I28,'DESCRICAO PRODUTO'!$A:$C,2,0)</f>
        <v>CAIXA AMPLIFICADA CM-16 BIVOLT .</v>
      </c>
      <c r="K28" s="41" t="str">
        <f>VLOOKUP(I28,'DESCRICAO PRODUTO'!$A:$C,3,0)</f>
        <v>CM 16</v>
      </c>
      <c r="L28" s="50">
        <v>1</v>
      </c>
      <c r="M28" s="50"/>
      <c r="N28" s="51">
        <f t="shared" si="0"/>
        <v>-1</v>
      </c>
      <c r="O28" s="40" t="s">
        <v>472</v>
      </c>
      <c r="P28" s="40" t="s">
        <v>472</v>
      </c>
      <c r="Q28" s="34" t="s">
        <v>506</v>
      </c>
      <c r="R28" s="18"/>
      <c r="S28" s="18"/>
      <c r="T28" s="32"/>
      <c r="U28" s="33"/>
    </row>
    <row r="29" spans="1:21" ht="15" customHeight="1">
      <c r="A29" s="48">
        <v>1</v>
      </c>
      <c r="B29" s="40">
        <v>46065</v>
      </c>
      <c r="C29" s="41" t="s">
        <v>240</v>
      </c>
      <c r="D29" s="41" t="s">
        <v>7</v>
      </c>
      <c r="E29" s="49" t="s">
        <v>115</v>
      </c>
      <c r="F29" s="41" t="s">
        <v>168</v>
      </c>
      <c r="G29" s="41" t="s">
        <v>241</v>
      </c>
      <c r="H29" s="41" t="s">
        <v>479</v>
      </c>
      <c r="I29" s="52" t="s">
        <v>46</v>
      </c>
      <c r="J29" s="46" t="str">
        <f>VLOOKUP(I29,'DESCRICAO PRODUTO'!$A:$C,2,0)</f>
        <v>CAIXA AMPLIFICADA CM-250 BIVOLT .</v>
      </c>
      <c r="K29" s="41" t="str">
        <f>VLOOKUP(I29,'DESCRICAO PRODUTO'!$A:$C,3,0)</f>
        <v>CM 250</v>
      </c>
      <c r="L29" s="50">
        <v>108</v>
      </c>
      <c r="M29" s="50">
        <v>108</v>
      </c>
      <c r="N29" s="51">
        <f t="shared" si="0"/>
        <v>0</v>
      </c>
      <c r="O29" s="40">
        <v>46153</v>
      </c>
      <c r="P29" s="40">
        <v>46168</v>
      </c>
      <c r="Q29" s="34" t="s">
        <v>455</v>
      </c>
      <c r="R29" s="18"/>
      <c r="S29" s="18">
        <v>30384</v>
      </c>
      <c r="T29" s="32" t="s">
        <v>473</v>
      </c>
      <c r="U29" s="33">
        <v>46189</v>
      </c>
    </row>
    <row r="30" spans="1:21" ht="15" customHeight="1">
      <c r="A30" s="48">
        <v>1</v>
      </c>
      <c r="B30" s="40">
        <v>46065</v>
      </c>
      <c r="C30" s="41" t="s">
        <v>240</v>
      </c>
      <c r="D30" s="41" t="s">
        <v>7</v>
      </c>
      <c r="E30" s="49" t="s">
        <v>194</v>
      </c>
      <c r="F30" s="41" t="s">
        <v>195</v>
      </c>
      <c r="G30" s="41" t="s">
        <v>241</v>
      </c>
      <c r="H30" s="41" t="s">
        <v>480</v>
      </c>
      <c r="I30" s="52" t="s">
        <v>46</v>
      </c>
      <c r="J30" s="46" t="str">
        <f>VLOOKUP(I30,'DESCRICAO PRODUTO'!$A:$C,2,0)</f>
        <v>CAIXA AMPLIFICADA CM-250 BIVOLT .</v>
      </c>
      <c r="K30" s="41" t="str">
        <f>VLOOKUP(I30,'DESCRICAO PRODUTO'!$A:$C,3,0)</f>
        <v>CM 250</v>
      </c>
      <c r="L30" s="50">
        <v>30</v>
      </c>
      <c r="M30" s="50">
        <v>30</v>
      </c>
      <c r="N30" s="51">
        <f t="shared" si="0"/>
        <v>0</v>
      </c>
      <c r="O30" s="40">
        <v>46100</v>
      </c>
      <c r="P30" s="40">
        <v>46122</v>
      </c>
      <c r="Q30" s="34" t="s">
        <v>455</v>
      </c>
      <c r="R30" s="18"/>
      <c r="S30" s="18">
        <v>29913</v>
      </c>
      <c r="T30" s="32" t="s">
        <v>452</v>
      </c>
      <c r="U30" s="33">
        <v>46146</v>
      </c>
    </row>
    <row r="31" spans="1:21" ht="15" customHeight="1">
      <c r="A31" s="48">
        <v>1</v>
      </c>
      <c r="B31" s="40">
        <v>46065</v>
      </c>
      <c r="C31" s="41" t="s">
        <v>240</v>
      </c>
      <c r="D31" s="41" t="s">
        <v>7</v>
      </c>
      <c r="E31" s="49" t="s">
        <v>115</v>
      </c>
      <c r="F31" s="41" t="s">
        <v>168</v>
      </c>
      <c r="G31" s="41" t="s">
        <v>241</v>
      </c>
      <c r="H31" s="41" t="s">
        <v>479</v>
      </c>
      <c r="I31" s="41" t="s">
        <v>47</v>
      </c>
      <c r="J31" s="46" t="str">
        <f>VLOOKUP(I31,'DESCRICAO PRODUTO'!$A:$C,2,0)</f>
        <v>CAIXA AMPLIFICADA CM-250 BIVOLT .</v>
      </c>
      <c r="K31" s="41" t="str">
        <f>VLOOKUP(I31,'DESCRICAO PRODUTO'!$A:$C,3,0)</f>
        <v>CM 250</v>
      </c>
      <c r="L31" s="50">
        <v>19</v>
      </c>
      <c r="M31" s="50">
        <v>19</v>
      </c>
      <c r="N31" s="51">
        <f t="shared" si="0"/>
        <v>0</v>
      </c>
      <c r="O31" s="40">
        <v>46153</v>
      </c>
      <c r="P31" s="40">
        <v>46168</v>
      </c>
      <c r="Q31" s="34" t="s">
        <v>455</v>
      </c>
      <c r="R31" s="18"/>
      <c r="S31" s="18">
        <v>30384</v>
      </c>
      <c r="T31" s="32" t="s">
        <v>473</v>
      </c>
      <c r="U31" s="33">
        <v>46189</v>
      </c>
    </row>
    <row r="32" spans="1:21" ht="15" customHeight="1">
      <c r="A32" s="48">
        <v>1</v>
      </c>
      <c r="B32" s="40">
        <v>46065</v>
      </c>
      <c r="C32" s="41" t="s">
        <v>240</v>
      </c>
      <c r="D32" s="41" t="s">
        <v>7</v>
      </c>
      <c r="E32" s="49" t="s">
        <v>194</v>
      </c>
      <c r="F32" s="41" t="s">
        <v>195</v>
      </c>
      <c r="G32" s="41" t="s">
        <v>241</v>
      </c>
      <c r="H32" s="41" t="s">
        <v>480</v>
      </c>
      <c r="I32" s="41" t="s">
        <v>47</v>
      </c>
      <c r="J32" s="46" t="str">
        <f>VLOOKUP(I32,'DESCRICAO PRODUTO'!$A:$C,2,0)</f>
        <v>CAIXA AMPLIFICADA CM-250 BIVOLT .</v>
      </c>
      <c r="K32" s="41" t="str">
        <f>VLOOKUP(I32,'DESCRICAO PRODUTO'!$A:$C,3,0)</f>
        <v>CM 250</v>
      </c>
      <c r="L32" s="50">
        <v>8</v>
      </c>
      <c r="M32" s="50">
        <v>8</v>
      </c>
      <c r="N32" s="51">
        <f t="shared" si="0"/>
        <v>0</v>
      </c>
      <c r="O32" s="40">
        <v>46100</v>
      </c>
      <c r="P32" s="40">
        <v>46122</v>
      </c>
      <c r="Q32" s="34" t="s">
        <v>455</v>
      </c>
      <c r="R32" s="18"/>
      <c r="S32" s="18">
        <v>29913</v>
      </c>
      <c r="T32" s="32" t="s">
        <v>452</v>
      </c>
      <c r="U32" s="33">
        <v>46146</v>
      </c>
    </row>
    <row r="33" spans="1:21" ht="15" customHeight="1">
      <c r="A33" s="48">
        <v>1</v>
      </c>
      <c r="B33" s="40">
        <v>46065</v>
      </c>
      <c r="C33" s="41" t="s">
        <v>240</v>
      </c>
      <c r="D33" s="41" t="s">
        <v>7</v>
      </c>
      <c r="E33" s="49" t="s">
        <v>194</v>
      </c>
      <c r="F33" s="41" t="s">
        <v>195</v>
      </c>
      <c r="G33" s="41" t="s">
        <v>241</v>
      </c>
      <c r="H33" s="41" t="s">
        <v>480</v>
      </c>
      <c r="I33" s="41" t="s">
        <v>48</v>
      </c>
      <c r="J33" s="46" t="str">
        <f>VLOOKUP(I33,'DESCRICAO PRODUTO'!$A:$C,2,0)</f>
        <v>CAIXA AMPLIFICADA CM-250 BIVOLT .</v>
      </c>
      <c r="K33" s="41" t="str">
        <f>VLOOKUP(I33,'DESCRICAO PRODUTO'!$A:$C,3,0)</f>
        <v>CM 250</v>
      </c>
      <c r="L33" s="50">
        <v>236</v>
      </c>
      <c r="M33" s="50">
        <v>236</v>
      </c>
      <c r="N33" s="51">
        <f t="shared" si="0"/>
        <v>0</v>
      </c>
      <c r="O33" s="40">
        <v>46100</v>
      </c>
      <c r="P33" s="40">
        <v>46122</v>
      </c>
      <c r="Q33" s="34" t="s">
        <v>455</v>
      </c>
      <c r="R33" s="18"/>
      <c r="S33" s="18">
        <v>29913</v>
      </c>
      <c r="T33" s="32" t="s">
        <v>452</v>
      </c>
      <c r="U33" s="33">
        <v>46146</v>
      </c>
    </row>
    <row r="34" spans="1:21" ht="15" customHeight="1">
      <c r="A34" s="48">
        <v>1</v>
      </c>
      <c r="B34" s="40">
        <v>46065</v>
      </c>
      <c r="C34" s="41" t="s">
        <v>240</v>
      </c>
      <c r="D34" s="41" t="s">
        <v>7</v>
      </c>
      <c r="E34" s="49" t="s">
        <v>113</v>
      </c>
      <c r="F34" s="41" t="s">
        <v>182</v>
      </c>
      <c r="G34" s="41" t="s">
        <v>241</v>
      </c>
      <c r="H34" s="41" t="s">
        <v>479</v>
      </c>
      <c r="I34" s="41" t="s">
        <v>43</v>
      </c>
      <c r="J34" s="46" t="str">
        <f>VLOOKUP(I34,'DESCRICAO PRODUTO'!$A:$C,2,0)</f>
        <v>CAIXA AMPLIFICADA CM-400 BIVOLT .</v>
      </c>
      <c r="K34" s="41" t="s">
        <v>492</v>
      </c>
      <c r="L34" s="50">
        <v>2360</v>
      </c>
      <c r="M34" s="50">
        <v>2360</v>
      </c>
      <c r="N34" s="51">
        <f t="shared" si="0"/>
        <v>0</v>
      </c>
      <c r="O34" s="40">
        <v>46139</v>
      </c>
      <c r="P34" s="40">
        <v>46107</v>
      </c>
      <c r="Q34" s="34" t="s">
        <v>455</v>
      </c>
      <c r="R34" s="3"/>
      <c r="S34" s="18">
        <v>29832</v>
      </c>
      <c r="T34" s="32" t="s">
        <v>337</v>
      </c>
      <c r="U34" s="33">
        <v>46127</v>
      </c>
    </row>
    <row r="35" spans="1:21" ht="15" customHeight="1">
      <c r="A35" s="48">
        <v>1</v>
      </c>
      <c r="B35" s="40">
        <v>46065</v>
      </c>
      <c r="C35" s="41" t="s">
        <v>240</v>
      </c>
      <c r="D35" s="41" t="s">
        <v>7</v>
      </c>
      <c r="E35" s="49" t="s">
        <v>113</v>
      </c>
      <c r="F35" s="41" t="s">
        <v>182</v>
      </c>
      <c r="G35" s="41" t="s">
        <v>241</v>
      </c>
      <c r="H35" s="41" t="s">
        <v>479</v>
      </c>
      <c r="I35" s="41" t="s">
        <v>42</v>
      </c>
      <c r="J35" s="46" t="str">
        <f>VLOOKUP(I35,'DESCRICAO PRODUTO'!$A:$C,2,0)</f>
        <v>CAIXA AMPLIFICADA CM-400 BIVOLT .</v>
      </c>
      <c r="K35" s="41" t="s">
        <v>492</v>
      </c>
      <c r="L35" s="50">
        <v>485</v>
      </c>
      <c r="M35" s="50">
        <v>485</v>
      </c>
      <c r="N35" s="51">
        <f t="shared" si="0"/>
        <v>0</v>
      </c>
      <c r="O35" s="40">
        <v>46139</v>
      </c>
      <c r="P35" s="40">
        <v>46107</v>
      </c>
      <c r="Q35" s="34" t="s">
        <v>455</v>
      </c>
      <c r="R35" s="18"/>
      <c r="S35" s="18">
        <v>29832</v>
      </c>
      <c r="T35" s="32" t="s">
        <v>337</v>
      </c>
      <c r="U35" s="33">
        <v>46127</v>
      </c>
    </row>
    <row r="36" spans="1:21" ht="15" customHeight="1">
      <c r="A36" s="48">
        <v>1</v>
      </c>
      <c r="B36" s="40">
        <v>46065</v>
      </c>
      <c r="C36" s="41" t="s">
        <v>240</v>
      </c>
      <c r="D36" s="41" t="s">
        <v>7</v>
      </c>
      <c r="E36" s="49" t="s">
        <v>302</v>
      </c>
      <c r="F36" s="41" t="s">
        <v>320</v>
      </c>
      <c r="G36" s="41" t="s">
        <v>241</v>
      </c>
      <c r="H36" s="41" t="s">
        <v>479</v>
      </c>
      <c r="I36" s="41" t="s">
        <v>96</v>
      </c>
      <c r="J36" s="46" t="str">
        <f>VLOOKUP(I36,'DESCRICAO PRODUTO'!$A:$C,2,0)</f>
        <v>CAIXA AMPLIFICADA CM-400 BIVOLT .</v>
      </c>
      <c r="K36" s="41" t="s">
        <v>492</v>
      </c>
      <c r="L36" s="50">
        <v>34</v>
      </c>
      <c r="M36" s="50">
        <v>34</v>
      </c>
      <c r="N36" s="51">
        <f t="shared" si="0"/>
        <v>0</v>
      </c>
      <c r="O36" s="40">
        <v>46153</v>
      </c>
      <c r="P36" s="40">
        <v>46168</v>
      </c>
      <c r="Q36" s="34" t="s">
        <v>455</v>
      </c>
      <c r="R36" s="18"/>
      <c r="S36" s="18">
        <v>30384</v>
      </c>
      <c r="T36" s="32" t="s">
        <v>473</v>
      </c>
      <c r="U36" s="33">
        <v>46189</v>
      </c>
    </row>
    <row r="37" spans="1:21" ht="15" customHeight="1">
      <c r="A37" s="48">
        <v>1</v>
      </c>
      <c r="B37" s="40">
        <v>46065</v>
      </c>
      <c r="C37" s="41" t="s">
        <v>240</v>
      </c>
      <c r="D37" s="41" t="s">
        <v>7</v>
      </c>
      <c r="E37" s="49" t="s">
        <v>303</v>
      </c>
      <c r="F37" s="41" t="s">
        <v>182</v>
      </c>
      <c r="G37" s="41" t="s">
        <v>241</v>
      </c>
      <c r="H37" s="41" t="s">
        <v>479</v>
      </c>
      <c r="I37" s="41" t="s">
        <v>97</v>
      </c>
      <c r="J37" s="46" t="str">
        <f>VLOOKUP(I37,'DESCRICAO PRODUTO'!$A:$C,2,0)</f>
        <v>CAIXA AMPLIFICADA CM-400 BIVOLT .</v>
      </c>
      <c r="K37" s="41" t="s">
        <v>492</v>
      </c>
      <c r="L37" s="50">
        <v>185</v>
      </c>
      <c r="M37" s="50">
        <v>185</v>
      </c>
      <c r="N37" s="51">
        <f t="shared" si="0"/>
        <v>0</v>
      </c>
      <c r="O37" s="40">
        <v>46153</v>
      </c>
      <c r="P37" s="40">
        <v>46168</v>
      </c>
      <c r="Q37" s="34" t="s">
        <v>455</v>
      </c>
      <c r="R37" s="18"/>
      <c r="S37" s="18">
        <v>30384</v>
      </c>
      <c r="T37" s="32" t="s">
        <v>473</v>
      </c>
      <c r="U37" s="33">
        <v>46189</v>
      </c>
    </row>
    <row r="38" spans="1:21" ht="15" customHeight="1">
      <c r="A38" s="48">
        <v>1</v>
      </c>
      <c r="B38" s="40">
        <v>46065</v>
      </c>
      <c r="C38" s="41" t="s">
        <v>240</v>
      </c>
      <c r="D38" s="41" t="s">
        <v>7</v>
      </c>
      <c r="E38" s="49" t="s">
        <v>302</v>
      </c>
      <c r="F38" s="41" t="s">
        <v>320</v>
      </c>
      <c r="G38" s="41" t="s">
        <v>241</v>
      </c>
      <c r="H38" s="41" t="s">
        <v>479</v>
      </c>
      <c r="I38" s="41" t="s">
        <v>96</v>
      </c>
      <c r="J38" s="46" t="str">
        <f>VLOOKUP(I38,'DESCRICAO PRODUTO'!$A:$C,2,0)</f>
        <v>CAIXA AMPLIFICADA CM-400 BIVOLT .</v>
      </c>
      <c r="K38" s="41" t="s">
        <v>492</v>
      </c>
      <c r="L38" s="50">
        <v>170</v>
      </c>
      <c r="M38" s="50">
        <v>170</v>
      </c>
      <c r="N38" s="51">
        <f t="shared" si="0"/>
        <v>0</v>
      </c>
      <c r="O38" s="40">
        <v>46153</v>
      </c>
      <c r="P38" s="40">
        <v>46168</v>
      </c>
      <c r="Q38" s="34" t="s">
        <v>455</v>
      </c>
      <c r="R38" s="18"/>
      <c r="S38" s="18">
        <v>30384</v>
      </c>
      <c r="T38" s="32" t="s">
        <v>473</v>
      </c>
      <c r="U38" s="33">
        <v>46189</v>
      </c>
    </row>
    <row r="39" spans="1:21" ht="15" customHeight="1">
      <c r="A39" s="48">
        <v>1</v>
      </c>
      <c r="B39" s="40">
        <v>46065</v>
      </c>
      <c r="C39" s="41" t="s">
        <v>240</v>
      </c>
      <c r="D39" s="41" t="s">
        <v>7</v>
      </c>
      <c r="E39" s="49" t="s">
        <v>304</v>
      </c>
      <c r="F39" s="41" t="s">
        <v>321</v>
      </c>
      <c r="G39" s="41" t="s">
        <v>241</v>
      </c>
      <c r="H39" s="41" t="s">
        <v>479</v>
      </c>
      <c r="I39" s="41" t="s">
        <v>45</v>
      </c>
      <c r="J39" s="46" t="str">
        <f>VLOOKUP(I39,'DESCRICAO PRODUTO'!$A:$C,2,0)</f>
        <v>CAIXA AMPLIFICADA CM-500 BIVOLT .</v>
      </c>
      <c r="K39" s="41" t="str">
        <f>VLOOKUP(I39,'DESCRICAO PRODUTO'!$A:$C,3,0)</f>
        <v>CM 500</v>
      </c>
      <c r="L39" s="50">
        <v>15</v>
      </c>
      <c r="M39" s="50"/>
      <c r="N39" s="51">
        <f t="shared" si="0"/>
        <v>-15</v>
      </c>
      <c r="O39" s="40" t="s">
        <v>472</v>
      </c>
      <c r="P39" s="40" t="s">
        <v>472</v>
      </c>
      <c r="Q39" s="34" t="s">
        <v>506</v>
      </c>
      <c r="R39" s="18"/>
      <c r="S39" s="18"/>
      <c r="T39" s="32"/>
      <c r="U39" s="33"/>
    </row>
    <row r="40" spans="1:21" ht="15" customHeight="1">
      <c r="A40" s="48">
        <v>1</v>
      </c>
      <c r="B40" s="40">
        <v>46065</v>
      </c>
      <c r="C40" s="41" t="s">
        <v>240</v>
      </c>
      <c r="D40" s="41" t="s">
        <v>7</v>
      </c>
      <c r="E40" s="49" t="s">
        <v>114</v>
      </c>
      <c r="F40" s="41" t="s">
        <v>171</v>
      </c>
      <c r="G40" s="41" t="s">
        <v>241</v>
      </c>
      <c r="H40" s="41" t="s">
        <v>479</v>
      </c>
      <c r="I40" s="41" t="s">
        <v>44</v>
      </c>
      <c r="J40" s="46" t="str">
        <f>VLOOKUP(I40,'DESCRICAO PRODUTO'!$A:$C,2,0)</f>
        <v>CAIXA AMPLIFICADA CM-500 BIVOLT.</v>
      </c>
      <c r="K40" s="41" t="str">
        <f>VLOOKUP(I40,'DESCRICAO PRODUTO'!$A:$C,3,0)</f>
        <v>CM 500</v>
      </c>
      <c r="L40" s="50">
        <v>22</v>
      </c>
      <c r="M40" s="50"/>
      <c r="N40" s="51">
        <f t="shared" si="0"/>
        <v>-22</v>
      </c>
      <c r="O40" s="40" t="s">
        <v>472</v>
      </c>
      <c r="P40" s="40" t="s">
        <v>472</v>
      </c>
      <c r="Q40" s="34" t="s">
        <v>506</v>
      </c>
      <c r="R40" s="18"/>
      <c r="S40" s="18"/>
      <c r="T40" s="32"/>
      <c r="U40" s="33"/>
    </row>
    <row r="41" spans="1:21" ht="15" customHeight="1">
      <c r="A41" s="48">
        <v>1</v>
      </c>
      <c r="B41" s="40">
        <v>46065</v>
      </c>
      <c r="C41" s="41" t="s">
        <v>240</v>
      </c>
      <c r="D41" s="41" t="s">
        <v>7</v>
      </c>
      <c r="E41" s="49" t="s">
        <v>305</v>
      </c>
      <c r="F41" s="41" t="s">
        <v>39</v>
      </c>
      <c r="G41" s="41" t="s">
        <v>241</v>
      </c>
      <c r="H41" s="41" t="s">
        <v>479</v>
      </c>
      <c r="I41" s="41" t="s">
        <v>27</v>
      </c>
      <c r="J41" s="46" t="str">
        <f>VLOOKUP(I41,'DESCRICAO PRODUTO'!$A:$C,2,0)</f>
        <v>CAIXA AMPLIFICADA CM-550 BIVOLT .</v>
      </c>
      <c r="K41" s="41" t="str">
        <f>VLOOKUP(I41,'DESCRICAO PRODUTO'!$A:$C,3,0)</f>
        <v>CM 550</v>
      </c>
      <c r="L41" s="50">
        <v>310</v>
      </c>
      <c r="M41" s="50">
        <v>310</v>
      </c>
      <c r="N41" s="51">
        <f t="shared" si="0"/>
        <v>0</v>
      </c>
      <c r="O41" s="40">
        <v>46198</v>
      </c>
      <c r="P41" s="40">
        <v>46204</v>
      </c>
      <c r="Q41" s="34" t="s">
        <v>455</v>
      </c>
      <c r="R41" s="18"/>
      <c r="S41" s="18">
        <v>30873</v>
      </c>
      <c r="T41" s="18" t="s">
        <v>488</v>
      </c>
      <c r="U41" s="33">
        <v>46228</v>
      </c>
    </row>
    <row r="42" spans="1:21" ht="15" customHeight="1">
      <c r="A42" s="48">
        <v>1</v>
      </c>
      <c r="B42" s="40">
        <v>46065</v>
      </c>
      <c r="C42" s="41" t="s">
        <v>240</v>
      </c>
      <c r="D42" s="41" t="s">
        <v>7</v>
      </c>
      <c r="E42" s="49" t="s">
        <v>305</v>
      </c>
      <c r="F42" s="41" t="s">
        <v>39</v>
      </c>
      <c r="G42" s="41" t="s">
        <v>241</v>
      </c>
      <c r="H42" s="41" t="s">
        <v>479</v>
      </c>
      <c r="I42" s="41" t="s">
        <v>49</v>
      </c>
      <c r="J42" s="46" t="str">
        <f>VLOOKUP(I42,'DESCRICAO PRODUTO'!$A:$C,2,0)</f>
        <v>CAIXA AMPLIFICADA CM-550 BIVOLT .</v>
      </c>
      <c r="K42" s="41" t="str">
        <f>VLOOKUP(I42,'DESCRICAO PRODUTO'!$A:$C,3,0)</f>
        <v>CM 550</v>
      </c>
      <c r="L42" s="50">
        <v>262</v>
      </c>
      <c r="M42" s="50">
        <v>262</v>
      </c>
      <c r="N42" s="51">
        <f t="shared" si="0"/>
        <v>0</v>
      </c>
      <c r="O42" s="40">
        <v>46198</v>
      </c>
      <c r="P42" s="40">
        <v>46204</v>
      </c>
      <c r="Q42" s="34" t="s">
        <v>455</v>
      </c>
      <c r="R42" s="18"/>
      <c r="S42" s="18">
        <v>30873</v>
      </c>
      <c r="T42" s="18" t="s">
        <v>488</v>
      </c>
      <c r="U42" s="33">
        <v>46228</v>
      </c>
    </row>
    <row r="43" spans="1:21" ht="15" customHeight="1">
      <c r="A43" s="48">
        <v>1</v>
      </c>
      <c r="B43" s="40">
        <v>46065</v>
      </c>
      <c r="C43" s="41" t="s">
        <v>240</v>
      </c>
      <c r="D43" s="41" t="s">
        <v>7</v>
      </c>
      <c r="E43" s="49" t="s">
        <v>305</v>
      </c>
      <c r="F43" s="41" t="s">
        <v>39</v>
      </c>
      <c r="G43" s="41" t="s">
        <v>241</v>
      </c>
      <c r="H43" s="41" t="s">
        <v>479</v>
      </c>
      <c r="I43" s="41" t="s">
        <v>99</v>
      </c>
      <c r="J43" s="46" t="str">
        <f>VLOOKUP(I43,'DESCRICAO PRODUTO'!$A:$C,2,0)</f>
        <v>CAIXA AMPLIFICADA CM-550 BIVOLT .</v>
      </c>
      <c r="K43" s="41" t="str">
        <f>VLOOKUP(I43,'DESCRICAO PRODUTO'!$A:$C,3,0)</f>
        <v>CM 550</v>
      </c>
      <c r="L43" s="50">
        <v>19</v>
      </c>
      <c r="M43" s="50">
        <v>19</v>
      </c>
      <c r="N43" s="51">
        <f t="shared" si="0"/>
        <v>0</v>
      </c>
      <c r="O43" s="40">
        <v>46198</v>
      </c>
      <c r="P43" s="40">
        <v>46204</v>
      </c>
      <c r="Q43" s="34" t="s">
        <v>455</v>
      </c>
      <c r="R43" s="18"/>
      <c r="S43" s="18">
        <v>30873</v>
      </c>
      <c r="T43" s="18" t="s">
        <v>488</v>
      </c>
      <c r="U43" s="33">
        <v>46228</v>
      </c>
    </row>
    <row r="44" spans="1:21" ht="15" customHeight="1">
      <c r="A44" s="48">
        <v>1</v>
      </c>
      <c r="B44" s="40">
        <v>46065</v>
      </c>
      <c r="C44" s="41" t="s">
        <v>240</v>
      </c>
      <c r="D44" s="41" t="s">
        <v>7</v>
      </c>
      <c r="E44" s="49" t="s">
        <v>124</v>
      </c>
      <c r="F44" s="41" t="s">
        <v>39</v>
      </c>
      <c r="G44" s="46" t="s">
        <v>241</v>
      </c>
      <c r="H44" s="41" t="s">
        <v>479</v>
      </c>
      <c r="I44" s="41" t="s">
        <v>50</v>
      </c>
      <c r="J44" s="46" t="str">
        <f>VLOOKUP(I44,'DESCRICAO PRODUTO'!$A:$C,2,0)</f>
        <v>CAIXA AMPLIFICADA CM-550 BIVOLT .</v>
      </c>
      <c r="K44" s="41" t="str">
        <f>VLOOKUP(I44,'DESCRICAO PRODUTO'!$A:$C,3,0)</f>
        <v>CM 550</v>
      </c>
      <c r="L44" s="50">
        <v>330</v>
      </c>
      <c r="M44" s="50">
        <v>330</v>
      </c>
      <c r="N44" s="51">
        <f t="shared" si="0"/>
        <v>0</v>
      </c>
      <c r="O44" s="40">
        <v>46100</v>
      </c>
      <c r="P44" s="40">
        <v>46122</v>
      </c>
      <c r="Q44" s="34" t="s">
        <v>455</v>
      </c>
      <c r="R44" s="18"/>
      <c r="S44" s="18">
        <v>29913</v>
      </c>
      <c r="T44" s="18" t="s">
        <v>452</v>
      </c>
      <c r="U44" s="33">
        <v>46146</v>
      </c>
    </row>
    <row r="45" spans="1:21" ht="15" customHeight="1">
      <c r="A45" s="48">
        <v>1</v>
      </c>
      <c r="B45" s="40">
        <v>46065</v>
      </c>
      <c r="C45" s="41" t="s">
        <v>240</v>
      </c>
      <c r="D45" s="41" t="s">
        <v>7</v>
      </c>
      <c r="E45" s="49" t="s">
        <v>124</v>
      </c>
      <c r="F45" s="41" t="s">
        <v>39</v>
      </c>
      <c r="G45" s="46" t="s">
        <v>241</v>
      </c>
      <c r="H45" s="41" t="s">
        <v>479</v>
      </c>
      <c r="I45" s="41" t="s">
        <v>50</v>
      </c>
      <c r="J45" s="46" t="str">
        <f>VLOOKUP(I45,'DESCRICAO PRODUTO'!$A:$C,2,0)</f>
        <v>CAIXA AMPLIFICADA CM-550 BIVOLT .</v>
      </c>
      <c r="K45" s="41" t="str">
        <f>VLOOKUP(I45,'DESCRICAO PRODUTO'!$A:$C,3,0)</f>
        <v>CM 550</v>
      </c>
      <c r="L45" s="50">
        <f>340-330</f>
        <v>10</v>
      </c>
      <c r="M45" s="50">
        <v>10</v>
      </c>
      <c r="N45" s="51">
        <f t="shared" si="0"/>
        <v>0</v>
      </c>
      <c r="O45" s="40">
        <v>46100</v>
      </c>
      <c r="P45" s="40">
        <v>46136</v>
      </c>
      <c r="Q45" s="34" t="s">
        <v>455</v>
      </c>
      <c r="R45" s="18"/>
      <c r="S45" s="18">
        <v>30030</v>
      </c>
      <c r="T45" s="18" t="s">
        <v>454</v>
      </c>
      <c r="U45" s="33">
        <v>46153</v>
      </c>
    </row>
    <row r="46" spans="1:21" ht="15" customHeight="1">
      <c r="A46" s="48">
        <v>1</v>
      </c>
      <c r="B46" s="40">
        <v>46065</v>
      </c>
      <c r="C46" s="41" t="s">
        <v>240</v>
      </c>
      <c r="D46" s="41" t="s">
        <v>7</v>
      </c>
      <c r="E46" s="49" t="s">
        <v>305</v>
      </c>
      <c r="F46" s="41" t="s">
        <v>39</v>
      </c>
      <c r="G46" s="41" t="s">
        <v>241</v>
      </c>
      <c r="H46" s="41" t="s">
        <v>479</v>
      </c>
      <c r="I46" s="41" t="s">
        <v>50</v>
      </c>
      <c r="J46" s="46" t="str">
        <f>VLOOKUP(I46,'DESCRICAO PRODUTO'!$A:$C,2,0)</f>
        <v>CAIXA AMPLIFICADA CM-550 BIVOLT .</v>
      </c>
      <c r="K46" s="41" t="str">
        <f>VLOOKUP(I46,'DESCRICAO PRODUTO'!$A:$C,3,0)</f>
        <v>CM 550</v>
      </c>
      <c r="L46" s="50">
        <f>885-340</f>
        <v>545</v>
      </c>
      <c r="M46" s="50">
        <v>545</v>
      </c>
      <c r="N46" s="51">
        <f t="shared" si="0"/>
        <v>0</v>
      </c>
      <c r="O46" s="40">
        <v>46198</v>
      </c>
      <c r="P46" s="40">
        <v>46204</v>
      </c>
      <c r="Q46" s="34" t="s">
        <v>455</v>
      </c>
      <c r="R46" s="18"/>
      <c r="S46" s="18">
        <v>30873</v>
      </c>
      <c r="T46" s="18" t="s">
        <v>488</v>
      </c>
      <c r="U46" s="33">
        <v>46228</v>
      </c>
    </row>
    <row r="47" spans="1:21" ht="15" customHeight="1">
      <c r="A47" s="48">
        <v>1</v>
      </c>
      <c r="B47" s="40">
        <v>46065</v>
      </c>
      <c r="C47" s="41" t="s">
        <v>240</v>
      </c>
      <c r="D47" s="41" t="s">
        <v>7</v>
      </c>
      <c r="E47" s="49" t="s">
        <v>205</v>
      </c>
      <c r="F47" s="41" t="s">
        <v>206</v>
      </c>
      <c r="G47" s="41" t="s">
        <v>241</v>
      </c>
      <c r="H47" s="41" t="s">
        <v>479</v>
      </c>
      <c r="I47" s="41" t="s">
        <v>199</v>
      </c>
      <c r="J47" s="46" t="str">
        <f>VLOOKUP(I47,'DESCRICAO PRODUTO'!$A:$C,2,0)</f>
        <v>CAIXA AMPLIFICADA CM-550-L BIVOLT .</v>
      </c>
      <c r="K47" s="41" t="str">
        <f>VLOOKUP(I47,'DESCRICAO PRODUTO'!$A:$C,3,0)</f>
        <v>CM 550L</v>
      </c>
      <c r="L47" s="50">
        <v>215</v>
      </c>
      <c r="M47" s="50">
        <v>215</v>
      </c>
      <c r="N47" s="51">
        <f t="shared" si="0"/>
        <v>0</v>
      </c>
      <c r="O47" s="40">
        <v>46153</v>
      </c>
      <c r="P47" s="40">
        <v>46160</v>
      </c>
      <c r="Q47" s="34" t="s">
        <v>455</v>
      </c>
      <c r="R47" s="18"/>
      <c r="S47" s="18">
        <v>30305</v>
      </c>
      <c r="T47" s="18" t="s">
        <v>463</v>
      </c>
      <c r="U47" s="33">
        <v>46184</v>
      </c>
    </row>
    <row r="48" spans="1:21" ht="15" customHeight="1">
      <c r="A48" s="48">
        <v>1</v>
      </c>
      <c r="B48" s="40">
        <v>46065</v>
      </c>
      <c r="C48" s="41" t="s">
        <v>240</v>
      </c>
      <c r="D48" s="41" t="s">
        <v>7</v>
      </c>
      <c r="E48" s="49" t="s">
        <v>449</v>
      </c>
      <c r="F48" s="41" t="s">
        <v>451</v>
      </c>
      <c r="G48" s="41" t="s">
        <v>233</v>
      </c>
      <c r="H48" s="41" t="s">
        <v>481</v>
      </c>
      <c r="I48" s="41" t="s">
        <v>89</v>
      </c>
      <c r="J48" s="46" t="str">
        <f>VLOOKUP(I48,'DESCRICAO PRODUTO'!$A:$C,2,0)</f>
        <v>CAIXA AMPLIFICADA CM-700 BIVOLT .</v>
      </c>
      <c r="K48" s="41" t="str">
        <f>VLOOKUP(I48,'DESCRICAO PRODUTO'!$A:$C,3,0)</f>
        <v>CM 700</v>
      </c>
      <c r="L48" s="50">
        <v>28</v>
      </c>
      <c r="M48" s="50"/>
      <c r="N48" s="51">
        <f t="shared" si="0"/>
        <v>-28</v>
      </c>
      <c r="O48" s="40"/>
      <c r="P48" s="40"/>
      <c r="Q48" s="34" t="s">
        <v>4</v>
      </c>
      <c r="R48" s="18" t="s">
        <v>549</v>
      </c>
      <c r="S48" s="18"/>
      <c r="T48" s="18"/>
      <c r="U48" s="33"/>
    </row>
    <row r="49" spans="1:21" ht="15" customHeight="1">
      <c r="A49" s="48">
        <v>1</v>
      </c>
      <c r="B49" s="40">
        <v>46065</v>
      </c>
      <c r="C49" s="41" t="s">
        <v>240</v>
      </c>
      <c r="D49" s="41" t="s">
        <v>7</v>
      </c>
      <c r="E49" s="49" t="s">
        <v>31</v>
      </c>
      <c r="F49" s="41" t="s">
        <v>32</v>
      </c>
      <c r="G49" s="41" t="s">
        <v>241</v>
      </c>
      <c r="H49" s="41" t="s">
        <v>479</v>
      </c>
      <c r="I49" s="41" t="s">
        <v>88</v>
      </c>
      <c r="J49" s="46" t="str">
        <f>VLOOKUP(I49,'DESCRICAO PRODUTO'!$A:$C,2,0)</f>
        <v>CAIXA AMPLIFICADA CM-700 BIVOLT .</v>
      </c>
      <c r="K49" s="41" t="str">
        <f>VLOOKUP(I49,'DESCRICAO PRODUTO'!$A:$C,3,0)</f>
        <v>CM 700</v>
      </c>
      <c r="L49" s="50">
        <v>28</v>
      </c>
      <c r="M49" s="50"/>
      <c r="N49" s="51">
        <f t="shared" si="0"/>
        <v>-28</v>
      </c>
      <c r="O49" s="40"/>
      <c r="P49" s="40"/>
      <c r="Q49" s="34" t="s">
        <v>4</v>
      </c>
      <c r="R49" s="18" t="s">
        <v>549</v>
      </c>
      <c r="S49" s="18"/>
      <c r="T49" s="18"/>
      <c r="U49" s="33"/>
    </row>
    <row r="50" spans="1:21" ht="15" customHeight="1">
      <c r="A50" s="48">
        <v>1</v>
      </c>
      <c r="B50" s="40">
        <v>46065</v>
      </c>
      <c r="C50" s="41" t="s">
        <v>240</v>
      </c>
      <c r="D50" s="41" t="s">
        <v>7</v>
      </c>
      <c r="E50" s="49" t="s">
        <v>31</v>
      </c>
      <c r="F50" s="41" t="s">
        <v>32</v>
      </c>
      <c r="G50" s="41" t="s">
        <v>241</v>
      </c>
      <c r="H50" s="41" t="s">
        <v>479</v>
      </c>
      <c r="I50" s="41" t="s">
        <v>89</v>
      </c>
      <c r="J50" s="46" t="str">
        <f>VLOOKUP(I50,'DESCRICAO PRODUTO'!$A:$C,2,0)</f>
        <v>CAIXA AMPLIFICADA CM-700 BIVOLT .</v>
      </c>
      <c r="K50" s="41" t="str">
        <f>VLOOKUP(I50,'DESCRICAO PRODUTO'!$A:$C,3,0)</f>
        <v>CM 700</v>
      </c>
      <c r="L50" s="50">
        <v>40</v>
      </c>
      <c r="M50" s="50"/>
      <c r="N50" s="51">
        <f t="shared" si="0"/>
        <v>-40</v>
      </c>
      <c r="O50" s="40"/>
      <c r="P50" s="40"/>
      <c r="Q50" s="34" t="s">
        <v>4</v>
      </c>
      <c r="R50" s="18" t="s">
        <v>549</v>
      </c>
      <c r="S50" s="18"/>
      <c r="T50" s="18"/>
      <c r="U50" s="33"/>
    </row>
    <row r="51" spans="1:21" ht="15" customHeight="1">
      <c r="A51" s="48">
        <v>1</v>
      </c>
      <c r="B51" s="40">
        <v>46065</v>
      </c>
      <c r="C51" s="41" t="s">
        <v>240</v>
      </c>
      <c r="D51" s="41" t="s">
        <v>7</v>
      </c>
      <c r="E51" s="49" t="s">
        <v>449</v>
      </c>
      <c r="F51" s="41" t="s">
        <v>451</v>
      </c>
      <c r="G51" s="41" t="s">
        <v>233</v>
      </c>
      <c r="H51" s="41" t="s">
        <v>481</v>
      </c>
      <c r="I51" s="41" t="s">
        <v>89</v>
      </c>
      <c r="J51" s="46" t="str">
        <f>VLOOKUP(I51,'DESCRICAO PRODUTO'!$A:$C,2,0)</f>
        <v>CAIXA AMPLIFICADA CM-700 BIVOLT .</v>
      </c>
      <c r="K51" s="41" t="str">
        <f>VLOOKUP(I51,'DESCRICAO PRODUTO'!$A:$C,3,0)</f>
        <v>CM 700</v>
      </c>
      <c r="L51" s="50">
        <v>589</v>
      </c>
      <c r="M51" s="50"/>
      <c r="N51" s="51">
        <f t="shared" si="0"/>
        <v>-589</v>
      </c>
      <c r="O51" s="40"/>
      <c r="P51" s="40"/>
      <c r="Q51" s="34" t="s">
        <v>4</v>
      </c>
      <c r="R51" s="18" t="s">
        <v>549</v>
      </c>
      <c r="S51" s="18"/>
      <c r="T51" s="18"/>
      <c r="U51" s="33"/>
    </row>
    <row r="52" spans="1:21" ht="15" customHeight="1">
      <c r="A52" s="48">
        <v>1</v>
      </c>
      <c r="B52" s="40">
        <v>46065</v>
      </c>
      <c r="C52" s="41" t="s">
        <v>240</v>
      </c>
      <c r="D52" s="41" t="s">
        <v>7</v>
      </c>
      <c r="E52" s="49" t="s">
        <v>31</v>
      </c>
      <c r="F52" s="41" t="s">
        <v>32</v>
      </c>
      <c r="G52" s="41" t="s">
        <v>241</v>
      </c>
      <c r="H52" s="41" t="s">
        <v>479</v>
      </c>
      <c r="I52" s="41" t="s">
        <v>23</v>
      </c>
      <c r="J52" s="46" t="str">
        <f>VLOOKUP(I52,'DESCRICAO PRODUTO'!$A:$C,2,0)</f>
        <v>CAIXA AMPLIFICADA CM-700 BIVOLT .</v>
      </c>
      <c r="K52" s="41" t="str">
        <f>VLOOKUP(I52,'DESCRICAO PRODUTO'!$A:$C,3,0)</f>
        <v>CM 700</v>
      </c>
      <c r="L52" s="50">
        <v>589</v>
      </c>
      <c r="M52" s="50"/>
      <c r="N52" s="51">
        <f t="shared" si="0"/>
        <v>-589</v>
      </c>
      <c r="O52" s="40"/>
      <c r="P52" s="40"/>
      <c r="Q52" s="34" t="s">
        <v>4</v>
      </c>
      <c r="R52" s="18" t="s">
        <v>549</v>
      </c>
      <c r="S52" s="18"/>
      <c r="T52" s="18"/>
      <c r="U52" s="33"/>
    </row>
    <row r="53" spans="1:21" ht="15" customHeight="1">
      <c r="A53" s="48">
        <v>1</v>
      </c>
      <c r="B53" s="40">
        <v>46065</v>
      </c>
      <c r="C53" s="41" t="s">
        <v>240</v>
      </c>
      <c r="D53" s="41" t="s">
        <v>7</v>
      </c>
      <c r="E53" s="49" t="s">
        <v>112</v>
      </c>
      <c r="F53" s="41" t="s">
        <v>170</v>
      </c>
      <c r="G53" s="41" t="s">
        <v>241</v>
      </c>
      <c r="H53" s="41" t="s">
        <v>479</v>
      </c>
      <c r="I53" s="41" t="s">
        <v>41</v>
      </c>
      <c r="J53" s="46" t="str">
        <f>VLOOKUP(I53,'DESCRICAO PRODUTO'!$A:$C,2,0)</f>
        <v>CAIXA AMPLIFICADA MCO-14 BIVOLT .</v>
      </c>
      <c r="K53" s="41" t="str">
        <f>VLOOKUP(I53,'DESCRICAO PRODUTO'!$A:$C,3,0)</f>
        <v>MCO 14</v>
      </c>
      <c r="L53" s="50">
        <v>15</v>
      </c>
      <c r="M53" s="50"/>
      <c r="N53" s="51">
        <f t="shared" si="0"/>
        <v>-15</v>
      </c>
      <c r="O53" s="40" t="s">
        <v>472</v>
      </c>
      <c r="P53" s="40" t="s">
        <v>472</v>
      </c>
      <c r="Q53" s="34" t="s">
        <v>506</v>
      </c>
      <c r="R53" s="18"/>
      <c r="S53" s="18"/>
      <c r="T53" s="18"/>
      <c r="U53" s="33"/>
    </row>
    <row r="54" spans="1:21" ht="15" customHeight="1">
      <c r="A54" s="48">
        <v>1</v>
      </c>
      <c r="B54" s="40">
        <v>46065</v>
      </c>
      <c r="C54" s="41" t="s">
        <v>240</v>
      </c>
      <c r="D54" s="41" t="s">
        <v>7</v>
      </c>
      <c r="E54" s="49" t="s">
        <v>112</v>
      </c>
      <c r="F54" s="41" t="s">
        <v>170</v>
      </c>
      <c r="G54" s="41" t="s">
        <v>241</v>
      </c>
      <c r="H54" s="41" t="s">
        <v>479</v>
      </c>
      <c r="I54" s="41" t="s">
        <v>41</v>
      </c>
      <c r="J54" s="46" t="str">
        <f>VLOOKUP(I54,'DESCRICAO PRODUTO'!$A:$C,2,0)</f>
        <v>CAIXA AMPLIFICADA MCO-14 BIVOLT .</v>
      </c>
      <c r="K54" s="41" t="str">
        <f>VLOOKUP(I54,'DESCRICAO PRODUTO'!$A:$C,3,0)</f>
        <v>MCO 14</v>
      </c>
      <c r="L54" s="50">
        <v>4</v>
      </c>
      <c r="M54" s="50"/>
      <c r="N54" s="51">
        <f t="shared" si="0"/>
        <v>-4</v>
      </c>
      <c r="O54" s="40" t="s">
        <v>472</v>
      </c>
      <c r="P54" s="40" t="s">
        <v>472</v>
      </c>
      <c r="Q54" s="34" t="s">
        <v>506</v>
      </c>
      <c r="R54" s="18"/>
      <c r="S54" s="18"/>
      <c r="T54" s="18"/>
      <c r="U54" s="33"/>
    </row>
    <row r="55" spans="1:21" ht="15" customHeight="1">
      <c r="A55" s="48">
        <v>1</v>
      </c>
      <c r="B55" s="40">
        <v>46065</v>
      </c>
      <c r="C55" s="41" t="s">
        <v>240</v>
      </c>
      <c r="D55" s="41" t="s">
        <v>7</v>
      </c>
      <c r="E55" s="49" t="s">
        <v>129</v>
      </c>
      <c r="F55" s="41" t="s">
        <v>179</v>
      </c>
      <c r="G55" s="41" t="s">
        <v>241</v>
      </c>
      <c r="H55" s="41" t="s">
        <v>479</v>
      </c>
      <c r="I55" s="41" t="s">
        <v>106</v>
      </c>
      <c r="J55" s="46" t="str">
        <f>VLOOKUP(I55,'DESCRICAO PRODUTO'!$A:$C,2,0)</f>
        <v>DVD D-14 BIVOLT GAME STAR II</v>
      </c>
      <c r="K55" s="41" t="str">
        <f>VLOOKUP(I55,'DESCRICAO PRODUTO'!$A:$C,3,0)</f>
        <v>DVD</v>
      </c>
      <c r="L55" s="50">
        <v>1</v>
      </c>
      <c r="M55" s="50"/>
      <c r="N55" s="51">
        <f t="shared" si="0"/>
        <v>-1</v>
      </c>
      <c r="O55" s="40" t="s">
        <v>472</v>
      </c>
      <c r="P55" s="40" t="s">
        <v>472</v>
      </c>
      <c r="Q55" s="34" t="s">
        <v>506</v>
      </c>
      <c r="R55" s="18"/>
      <c r="S55" s="18"/>
      <c r="T55" s="18"/>
      <c r="U55" s="33"/>
    </row>
    <row r="56" spans="1:21" ht="15" customHeight="1">
      <c r="A56" s="48">
        <v>1</v>
      </c>
      <c r="B56" s="40">
        <v>46065</v>
      </c>
      <c r="C56" s="41" t="s">
        <v>240</v>
      </c>
      <c r="D56" s="41" t="s">
        <v>7</v>
      </c>
      <c r="E56" s="49" t="s">
        <v>307</v>
      </c>
      <c r="F56" s="41" t="s">
        <v>212</v>
      </c>
      <c r="G56" s="41" t="s">
        <v>241</v>
      </c>
      <c r="H56" s="41" t="s">
        <v>480</v>
      </c>
      <c r="I56" s="41" t="s">
        <v>106</v>
      </c>
      <c r="J56" s="46" t="str">
        <f>VLOOKUP(I56,'DESCRICAO PRODUTO'!$A:$C,2,0)</f>
        <v>DVD D-14 BIVOLT GAME STAR II</v>
      </c>
      <c r="K56" s="41" t="str">
        <f>VLOOKUP(I56,'DESCRICAO PRODUTO'!$A:$C,3,0)</f>
        <v>DVD</v>
      </c>
      <c r="L56" s="50">
        <v>1</v>
      </c>
      <c r="M56" s="50"/>
      <c r="N56" s="51">
        <f t="shared" si="0"/>
        <v>-1</v>
      </c>
      <c r="O56" s="40" t="s">
        <v>472</v>
      </c>
      <c r="P56" s="40" t="s">
        <v>472</v>
      </c>
      <c r="Q56" s="34" t="s">
        <v>506</v>
      </c>
      <c r="R56" s="18"/>
      <c r="S56" s="18"/>
      <c r="T56" s="18"/>
      <c r="U56" s="33"/>
    </row>
    <row r="57" spans="1:21" ht="15" customHeight="1">
      <c r="A57" s="48">
        <v>1</v>
      </c>
      <c r="B57" s="40">
        <v>46065</v>
      </c>
      <c r="C57" s="41" t="s">
        <v>240</v>
      </c>
      <c r="D57" s="41" t="s">
        <v>7</v>
      </c>
      <c r="E57" s="49" t="s">
        <v>158</v>
      </c>
      <c r="F57" s="41" t="s">
        <v>176</v>
      </c>
      <c r="G57" s="41" t="s">
        <v>241</v>
      </c>
      <c r="H57" s="41" t="s">
        <v>479</v>
      </c>
      <c r="I57" s="41" t="s">
        <v>100</v>
      </c>
      <c r="J57" s="46" t="str">
        <f>VLOOKUP(I57,'DESCRICAO PRODUTO'!$A:$C,2,0)</f>
        <v>DVD D-15 BIVOLT KARAOKE USB</v>
      </c>
      <c r="K57" s="41" t="str">
        <f>VLOOKUP(I57,'DESCRICAO PRODUTO'!$A:$C,3,0)</f>
        <v>DVD</v>
      </c>
      <c r="L57" s="50">
        <v>15</v>
      </c>
      <c r="M57" s="50"/>
      <c r="N57" s="51">
        <f t="shared" si="0"/>
        <v>-15</v>
      </c>
      <c r="O57" s="40" t="s">
        <v>472</v>
      </c>
      <c r="P57" s="40" t="s">
        <v>472</v>
      </c>
      <c r="Q57" s="34" t="s">
        <v>506</v>
      </c>
      <c r="R57" s="18"/>
      <c r="S57" s="18"/>
      <c r="T57" s="18"/>
      <c r="U57" s="33"/>
    </row>
    <row r="58" spans="1:21" ht="15" customHeight="1">
      <c r="A58" s="48">
        <v>1</v>
      </c>
      <c r="B58" s="40">
        <v>46065</v>
      </c>
      <c r="C58" s="41" t="s">
        <v>240</v>
      </c>
      <c r="D58" s="41" t="s">
        <v>7</v>
      </c>
      <c r="E58" s="49" t="s">
        <v>308</v>
      </c>
      <c r="F58" s="41" t="s">
        <v>323</v>
      </c>
      <c r="G58" s="41" t="s">
        <v>241</v>
      </c>
      <c r="H58" s="41" t="s">
        <v>480</v>
      </c>
      <c r="I58" s="41" t="s">
        <v>100</v>
      </c>
      <c r="J58" s="46" t="str">
        <f>VLOOKUP(I58,'DESCRICAO PRODUTO'!$A:$C,2,0)</f>
        <v>DVD D-15 BIVOLT KARAOKE USB</v>
      </c>
      <c r="K58" s="41" t="str">
        <f>VLOOKUP(I58,'DESCRICAO PRODUTO'!$A:$C,3,0)</f>
        <v>DVD</v>
      </c>
      <c r="L58" s="50">
        <v>3</v>
      </c>
      <c r="M58" s="50"/>
      <c r="N58" s="51">
        <f t="shared" si="0"/>
        <v>-3</v>
      </c>
      <c r="O58" s="40" t="s">
        <v>472</v>
      </c>
      <c r="P58" s="40" t="s">
        <v>472</v>
      </c>
      <c r="Q58" s="34" t="s">
        <v>506</v>
      </c>
      <c r="R58" s="18"/>
      <c r="S58" s="18"/>
      <c r="T58" s="18"/>
      <c r="U58" s="33"/>
    </row>
    <row r="59" spans="1:21" ht="15" customHeight="1">
      <c r="A59" s="48">
        <v>1</v>
      </c>
      <c r="B59" s="40">
        <v>46065</v>
      </c>
      <c r="C59" s="41" t="s">
        <v>240</v>
      </c>
      <c r="D59" s="41" t="s">
        <v>7</v>
      </c>
      <c r="E59" s="49" t="s">
        <v>130</v>
      </c>
      <c r="F59" s="41" t="s">
        <v>180</v>
      </c>
      <c r="G59" s="41" t="s">
        <v>241</v>
      </c>
      <c r="H59" s="41" t="s">
        <v>479</v>
      </c>
      <c r="I59" s="41" t="s">
        <v>107</v>
      </c>
      <c r="J59" s="46" t="str">
        <f>VLOOKUP(I59,'DESCRICAO PRODUTO'!$A:$C,2,0)</f>
        <v>DVD D-18 BIVOLT .</v>
      </c>
      <c r="K59" s="41" t="str">
        <f>VLOOKUP(I59,'DESCRICAO PRODUTO'!$A:$C,3,0)</f>
        <v>DVD</v>
      </c>
      <c r="L59" s="50">
        <v>3</v>
      </c>
      <c r="M59" s="50"/>
      <c r="N59" s="51">
        <f t="shared" si="0"/>
        <v>-3</v>
      </c>
      <c r="O59" s="40" t="s">
        <v>472</v>
      </c>
      <c r="P59" s="40" t="s">
        <v>472</v>
      </c>
      <c r="Q59" s="34" t="s">
        <v>506</v>
      </c>
      <c r="R59" s="18"/>
      <c r="S59" s="18"/>
      <c r="T59" s="18"/>
      <c r="U59" s="33"/>
    </row>
    <row r="60" spans="1:21" ht="15" customHeight="1">
      <c r="A60" s="48">
        <v>1</v>
      </c>
      <c r="B60" s="40">
        <v>46065</v>
      </c>
      <c r="C60" s="41" t="s">
        <v>240</v>
      </c>
      <c r="D60" s="41" t="s">
        <v>7</v>
      </c>
      <c r="E60" s="49" t="s">
        <v>308</v>
      </c>
      <c r="F60" s="41" t="s">
        <v>323</v>
      </c>
      <c r="G60" s="41" t="s">
        <v>241</v>
      </c>
      <c r="H60" s="41" t="s">
        <v>480</v>
      </c>
      <c r="I60" s="41" t="s">
        <v>107</v>
      </c>
      <c r="J60" s="46" t="str">
        <f>VLOOKUP(I60,'DESCRICAO PRODUTO'!$A:$C,2,0)</f>
        <v>DVD D-18 BIVOLT .</v>
      </c>
      <c r="K60" s="41" t="str">
        <f>VLOOKUP(I60,'DESCRICAO PRODUTO'!$A:$C,3,0)</f>
        <v>DVD</v>
      </c>
      <c r="L60" s="50">
        <v>1</v>
      </c>
      <c r="M60" s="50"/>
      <c r="N60" s="51">
        <f t="shared" si="0"/>
        <v>-1</v>
      </c>
      <c r="O60" s="40" t="s">
        <v>472</v>
      </c>
      <c r="P60" s="40" t="s">
        <v>472</v>
      </c>
      <c r="Q60" s="34" t="s">
        <v>506</v>
      </c>
      <c r="R60" s="18"/>
      <c r="S60" s="18"/>
      <c r="T60" s="18"/>
      <c r="U60" s="33"/>
    </row>
    <row r="61" spans="1:21" ht="15" customHeight="1">
      <c r="A61" s="48">
        <v>1</v>
      </c>
      <c r="B61" s="40">
        <v>46065</v>
      </c>
      <c r="C61" s="41" t="s">
        <v>240</v>
      </c>
      <c r="D61" s="41" t="s">
        <v>7</v>
      </c>
      <c r="E61" s="49" t="s">
        <v>118</v>
      </c>
      <c r="F61" s="41" t="s">
        <v>173</v>
      </c>
      <c r="G61" s="41" t="s">
        <v>241</v>
      </c>
      <c r="H61" s="41" t="s">
        <v>479</v>
      </c>
      <c r="I61" s="41" t="s">
        <v>54</v>
      </c>
      <c r="J61" s="46" t="str">
        <f>VLOOKUP(I61,'DESCRICAO PRODUTO'!$A:$C,2,0)</f>
        <v>DVD D-20 BIVOLT KARAOKE</v>
      </c>
      <c r="K61" s="41" t="str">
        <f>VLOOKUP(I61,'DESCRICAO PRODUTO'!$A:$C,3,0)</f>
        <v>DVD</v>
      </c>
      <c r="L61" s="50">
        <v>263</v>
      </c>
      <c r="M61" s="50"/>
      <c r="N61" s="51">
        <f t="shared" si="0"/>
        <v>-263</v>
      </c>
      <c r="O61" s="40" t="s">
        <v>472</v>
      </c>
      <c r="P61" s="40" t="s">
        <v>472</v>
      </c>
      <c r="Q61" s="34" t="s">
        <v>506</v>
      </c>
      <c r="R61" s="18"/>
      <c r="S61" s="18"/>
      <c r="T61" s="18"/>
      <c r="U61" s="33"/>
    </row>
    <row r="62" spans="1:21" ht="15" customHeight="1">
      <c r="A62" s="48">
        <v>1</v>
      </c>
      <c r="B62" s="40">
        <v>46065</v>
      </c>
      <c r="C62" s="41" t="s">
        <v>240</v>
      </c>
      <c r="D62" s="41" t="s">
        <v>7</v>
      </c>
      <c r="E62" s="49" t="s">
        <v>196</v>
      </c>
      <c r="F62" s="41" t="s">
        <v>197</v>
      </c>
      <c r="G62" s="41" t="s">
        <v>241</v>
      </c>
      <c r="H62" s="41" t="s">
        <v>480</v>
      </c>
      <c r="I62" s="41" t="s">
        <v>54</v>
      </c>
      <c r="J62" s="46" t="str">
        <f>VLOOKUP(I62,'DESCRICAO PRODUTO'!$A:$C,2,0)</f>
        <v>DVD D-20 BIVOLT KARAOKE</v>
      </c>
      <c r="K62" s="41" t="str">
        <f>VLOOKUP(I62,'DESCRICAO PRODUTO'!$A:$C,3,0)</f>
        <v>DVD</v>
      </c>
      <c r="L62" s="50">
        <v>67</v>
      </c>
      <c r="M62" s="50"/>
      <c r="N62" s="51">
        <f t="shared" si="0"/>
        <v>-67</v>
      </c>
      <c r="O62" s="40" t="s">
        <v>472</v>
      </c>
      <c r="P62" s="40" t="s">
        <v>472</v>
      </c>
      <c r="Q62" s="34" t="s">
        <v>506</v>
      </c>
      <c r="R62" s="18"/>
      <c r="S62" s="18"/>
      <c r="T62" s="18"/>
      <c r="U62" s="33"/>
    </row>
    <row r="63" spans="1:21" ht="15" customHeight="1">
      <c r="A63" s="48">
        <v>1</v>
      </c>
      <c r="B63" s="40">
        <v>46065</v>
      </c>
      <c r="C63" s="41" t="s">
        <v>240</v>
      </c>
      <c r="D63" s="41" t="s">
        <v>7</v>
      </c>
      <c r="E63" s="49" t="s">
        <v>116</v>
      </c>
      <c r="F63" s="41" t="s">
        <v>172</v>
      </c>
      <c r="G63" s="41" t="s">
        <v>241</v>
      </c>
      <c r="H63" s="41" t="s">
        <v>479</v>
      </c>
      <c r="I63" s="41" t="s">
        <v>51</v>
      </c>
      <c r="J63" s="46" t="str">
        <f>VLOOKUP(I63,'DESCRICAO PRODUTO'!$A:$C,2,0)</f>
        <v>DVD D-21 BIVOLT .</v>
      </c>
      <c r="K63" s="41" t="str">
        <f>VLOOKUP(I63,'DESCRICAO PRODUTO'!$A:$C,3,0)</f>
        <v>DVD</v>
      </c>
      <c r="L63" s="50">
        <v>33</v>
      </c>
      <c r="M63" s="50"/>
      <c r="N63" s="51">
        <f t="shared" si="0"/>
        <v>-33</v>
      </c>
      <c r="O63" s="40" t="s">
        <v>472</v>
      </c>
      <c r="P63" s="40" t="s">
        <v>472</v>
      </c>
      <c r="Q63" s="34" t="s">
        <v>506</v>
      </c>
      <c r="R63" s="18"/>
      <c r="S63" s="18"/>
      <c r="T63" s="18"/>
      <c r="U63" s="33"/>
    </row>
    <row r="64" spans="1:21" ht="15" customHeight="1">
      <c r="A64" s="48">
        <v>1</v>
      </c>
      <c r="B64" s="40">
        <v>46065</v>
      </c>
      <c r="C64" s="41" t="s">
        <v>240</v>
      </c>
      <c r="D64" s="41" t="s">
        <v>7</v>
      </c>
      <c r="E64" s="49" t="s">
        <v>309</v>
      </c>
      <c r="F64" s="41" t="s">
        <v>212</v>
      </c>
      <c r="G64" s="41" t="s">
        <v>241</v>
      </c>
      <c r="H64" s="41" t="s">
        <v>480</v>
      </c>
      <c r="I64" s="41" t="s">
        <v>51</v>
      </c>
      <c r="J64" s="46" t="str">
        <f>VLOOKUP(I64,'DESCRICAO PRODUTO'!$A:$C,2,0)</f>
        <v>DVD D-21 BIVOLT .</v>
      </c>
      <c r="K64" s="41" t="str">
        <f>VLOOKUP(I64,'DESCRICAO PRODUTO'!$A:$C,3,0)</f>
        <v>DVD</v>
      </c>
      <c r="L64" s="50">
        <v>8</v>
      </c>
      <c r="M64" s="50"/>
      <c r="N64" s="51">
        <f t="shared" si="0"/>
        <v>-8</v>
      </c>
      <c r="O64" s="40" t="s">
        <v>472</v>
      </c>
      <c r="P64" s="40" t="s">
        <v>472</v>
      </c>
      <c r="Q64" s="34" t="s">
        <v>506</v>
      </c>
      <c r="R64" s="18"/>
      <c r="S64" s="18"/>
      <c r="T64" s="18"/>
      <c r="U64" s="33"/>
    </row>
    <row r="65" spans="1:21" ht="15" customHeight="1">
      <c r="A65" s="48">
        <v>1</v>
      </c>
      <c r="B65" s="40">
        <v>46065</v>
      </c>
      <c r="C65" s="41" t="s">
        <v>240</v>
      </c>
      <c r="D65" s="41" t="s">
        <v>7</v>
      </c>
      <c r="E65" s="49" t="s">
        <v>126</v>
      </c>
      <c r="F65" s="41" t="s">
        <v>175</v>
      </c>
      <c r="G65" s="41" t="s">
        <v>241</v>
      </c>
      <c r="H65" s="41" t="s">
        <v>479</v>
      </c>
      <c r="I65" s="41" t="s">
        <v>98</v>
      </c>
      <c r="J65" s="46" t="str">
        <f>VLOOKUP(I65,'DESCRICAO PRODUTO'!$A:$C,2,0)</f>
        <v>DVD D-22 BIVOLT .</v>
      </c>
      <c r="K65" s="41" t="str">
        <f>VLOOKUP(I65,'DESCRICAO PRODUTO'!$A:$C,3,0)</f>
        <v>DVD</v>
      </c>
      <c r="L65" s="50">
        <v>31</v>
      </c>
      <c r="M65" s="50"/>
      <c r="N65" s="51">
        <f t="shared" si="0"/>
        <v>-31</v>
      </c>
      <c r="O65" s="40" t="s">
        <v>472</v>
      </c>
      <c r="P65" s="40" t="s">
        <v>472</v>
      </c>
      <c r="Q65" s="34" t="s">
        <v>506</v>
      </c>
      <c r="R65" s="18"/>
      <c r="S65" s="18"/>
      <c r="T65" s="18"/>
      <c r="U65" s="33"/>
    </row>
    <row r="66" spans="1:21" ht="15" customHeight="1">
      <c r="A66" s="48">
        <v>1</v>
      </c>
      <c r="B66" s="40">
        <v>46065</v>
      </c>
      <c r="C66" s="41" t="s">
        <v>240</v>
      </c>
      <c r="D66" s="41" t="s">
        <v>7</v>
      </c>
      <c r="E66" s="49" t="s">
        <v>310</v>
      </c>
      <c r="F66" s="41" t="s">
        <v>324</v>
      </c>
      <c r="G66" s="41" t="s">
        <v>241</v>
      </c>
      <c r="H66" s="41" t="s">
        <v>480</v>
      </c>
      <c r="I66" s="41" t="s">
        <v>98</v>
      </c>
      <c r="J66" s="46" t="str">
        <f>VLOOKUP(I66,'DESCRICAO PRODUTO'!$A:$C,2,0)</f>
        <v>DVD D-22 BIVOLT .</v>
      </c>
      <c r="K66" s="41" t="str">
        <f>VLOOKUP(I66,'DESCRICAO PRODUTO'!$A:$C,3,0)</f>
        <v>DVD</v>
      </c>
      <c r="L66" s="50">
        <v>6</v>
      </c>
      <c r="M66" s="50"/>
      <c r="N66" s="51">
        <f t="shared" ref="N66:N129" si="1">M66-L66</f>
        <v>-6</v>
      </c>
      <c r="O66" s="40" t="s">
        <v>472</v>
      </c>
      <c r="P66" s="40" t="s">
        <v>472</v>
      </c>
      <c r="Q66" s="34" t="s">
        <v>506</v>
      </c>
      <c r="R66" s="18"/>
      <c r="S66" s="18"/>
      <c r="T66" s="18"/>
      <c r="U66" s="33"/>
    </row>
    <row r="67" spans="1:21" ht="15" customHeight="1">
      <c r="A67" s="48">
        <v>1</v>
      </c>
      <c r="B67" s="40">
        <v>46065</v>
      </c>
      <c r="C67" s="41" t="s">
        <v>240</v>
      </c>
      <c r="D67" s="41" t="s">
        <v>7</v>
      </c>
      <c r="E67" s="49" t="s">
        <v>145</v>
      </c>
      <c r="F67" s="41" t="s">
        <v>146</v>
      </c>
      <c r="G67" s="41" t="s">
        <v>233</v>
      </c>
      <c r="H67" s="41" t="s">
        <v>481</v>
      </c>
      <c r="I67" s="41" t="s">
        <v>20</v>
      </c>
      <c r="J67" s="46" t="str">
        <f>VLOOKUP(I67,'DESCRICAO PRODUTO'!$A:$C,2,0)</f>
        <v>MICRO-ONDAS MO-01-21-B 127V/60HZ</v>
      </c>
      <c r="K67" s="41" t="str">
        <f>VLOOKUP(I67,'DESCRICAO PRODUTO'!$A:$C,3,0)</f>
        <v>MO 21L</v>
      </c>
      <c r="L67" s="50">
        <v>80</v>
      </c>
      <c r="M67" s="50">
        <v>80</v>
      </c>
      <c r="N67" s="51">
        <f t="shared" si="1"/>
        <v>0</v>
      </c>
      <c r="O67" s="40">
        <v>46091</v>
      </c>
      <c r="P67" s="40">
        <v>46106</v>
      </c>
      <c r="Q67" s="34" t="s">
        <v>455</v>
      </c>
      <c r="R67" s="18"/>
      <c r="S67" s="18">
        <v>29831</v>
      </c>
      <c r="T67" s="18" t="s">
        <v>337</v>
      </c>
      <c r="U67" s="33">
        <v>46126</v>
      </c>
    </row>
    <row r="68" spans="1:21" ht="15" customHeight="1">
      <c r="A68" s="48">
        <v>1</v>
      </c>
      <c r="B68" s="40">
        <v>46065</v>
      </c>
      <c r="C68" s="41" t="s">
        <v>240</v>
      </c>
      <c r="D68" s="41" t="s">
        <v>7</v>
      </c>
      <c r="E68" s="49" t="s">
        <v>144</v>
      </c>
      <c r="F68" s="41" t="s">
        <v>238</v>
      </c>
      <c r="G68" s="41" t="s">
        <v>233</v>
      </c>
      <c r="H68" s="41" t="s">
        <v>482</v>
      </c>
      <c r="I68" s="41" t="s">
        <v>20</v>
      </c>
      <c r="J68" s="46" t="str">
        <f>VLOOKUP(I68,'DESCRICAO PRODUTO'!$A:$C,2,0)</f>
        <v>MICRO-ONDAS MO-01-21-B 127V/60HZ</v>
      </c>
      <c r="K68" s="41" t="str">
        <f>VLOOKUP(I68,'DESCRICAO PRODUTO'!$A:$C,3,0)</f>
        <v>MO 21L</v>
      </c>
      <c r="L68" s="50">
        <v>80</v>
      </c>
      <c r="M68" s="50">
        <v>80</v>
      </c>
      <c r="N68" s="51">
        <f t="shared" si="1"/>
        <v>0</v>
      </c>
      <c r="O68" s="40">
        <v>46153</v>
      </c>
      <c r="P68" s="40">
        <v>46163</v>
      </c>
      <c r="Q68" s="34" t="s">
        <v>455</v>
      </c>
      <c r="R68" s="18"/>
      <c r="S68" s="18">
        <v>30369</v>
      </c>
      <c r="T68" s="18" t="s">
        <v>464</v>
      </c>
      <c r="U68" s="33">
        <v>46188</v>
      </c>
    </row>
    <row r="69" spans="1:21" ht="15" customHeight="1">
      <c r="A69" s="48">
        <v>1</v>
      </c>
      <c r="B69" s="40">
        <v>46065</v>
      </c>
      <c r="C69" s="41" t="s">
        <v>240</v>
      </c>
      <c r="D69" s="41" t="s">
        <v>7</v>
      </c>
      <c r="E69" s="49" t="s">
        <v>143</v>
      </c>
      <c r="F69" s="41" t="s">
        <v>237</v>
      </c>
      <c r="G69" s="41" t="s">
        <v>233</v>
      </c>
      <c r="H69" s="41" t="s">
        <v>482</v>
      </c>
      <c r="I69" s="41" t="s">
        <v>20</v>
      </c>
      <c r="J69" s="46" t="str">
        <f>VLOOKUP(I69,'DESCRICAO PRODUTO'!$A:$C,2,0)</f>
        <v>MICRO-ONDAS MO-01-21-B 127V/60HZ</v>
      </c>
      <c r="K69" s="41" t="str">
        <f>VLOOKUP(I69,'DESCRICAO PRODUTO'!$A:$C,3,0)</f>
        <v>MO 21L</v>
      </c>
      <c r="L69" s="50">
        <v>80</v>
      </c>
      <c r="M69" s="50">
        <v>80</v>
      </c>
      <c r="N69" s="51">
        <f t="shared" si="1"/>
        <v>0</v>
      </c>
      <c r="O69" s="40">
        <v>46153</v>
      </c>
      <c r="P69" s="40">
        <v>46163</v>
      </c>
      <c r="Q69" s="34" t="s">
        <v>455</v>
      </c>
      <c r="R69" s="18"/>
      <c r="S69" s="18">
        <v>30369</v>
      </c>
      <c r="T69" s="18" t="s">
        <v>464</v>
      </c>
      <c r="U69" s="33">
        <v>46188</v>
      </c>
    </row>
    <row r="70" spans="1:21" ht="15" customHeight="1">
      <c r="A70" s="48">
        <v>1</v>
      </c>
      <c r="B70" s="40">
        <v>46065</v>
      </c>
      <c r="C70" s="41" t="s">
        <v>240</v>
      </c>
      <c r="D70" s="41" t="s">
        <v>7</v>
      </c>
      <c r="E70" s="49" t="s">
        <v>311</v>
      </c>
      <c r="F70" s="41" t="s">
        <v>146</v>
      </c>
      <c r="G70" s="41" t="s">
        <v>233</v>
      </c>
      <c r="H70" s="41" t="s">
        <v>481</v>
      </c>
      <c r="I70" s="41" t="s">
        <v>72</v>
      </c>
      <c r="J70" s="46" t="str">
        <f>VLOOKUP(I70,'DESCRICAO PRODUTO'!$A:$C,2,0)</f>
        <v>MICRO-ONDAS MO-01-21-B 127V/60HZ</v>
      </c>
      <c r="K70" s="41" t="str">
        <f>VLOOKUP(I70,'DESCRICAO PRODUTO'!$A:$C,3,0)</f>
        <v>MO 21L</v>
      </c>
      <c r="L70" s="50">
        <v>457</v>
      </c>
      <c r="M70" s="50">
        <v>457</v>
      </c>
      <c r="N70" s="51">
        <f t="shared" si="1"/>
        <v>0</v>
      </c>
      <c r="O70" s="40">
        <v>46091</v>
      </c>
      <c r="P70" s="40">
        <v>46106</v>
      </c>
      <c r="Q70" s="34" t="s">
        <v>455</v>
      </c>
      <c r="R70" s="18"/>
      <c r="S70" s="18">
        <v>29831</v>
      </c>
      <c r="T70" s="18" t="s">
        <v>337</v>
      </c>
      <c r="U70" s="33">
        <v>46126</v>
      </c>
    </row>
    <row r="71" spans="1:21" ht="15" customHeight="1">
      <c r="A71" s="48">
        <v>1</v>
      </c>
      <c r="B71" s="40">
        <v>46065</v>
      </c>
      <c r="C71" s="41" t="s">
        <v>240</v>
      </c>
      <c r="D71" s="41" t="s">
        <v>7</v>
      </c>
      <c r="E71" s="49" t="s">
        <v>143</v>
      </c>
      <c r="F71" s="41" t="s">
        <v>237</v>
      </c>
      <c r="G71" s="41" t="s">
        <v>233</v>
      </c>
      <c r="H71" s="41" t="s">
        <v>482</v>
      </c>
      <c r="I71" s="41" t="s">
        <v>72</v>
      </c>
      <c r="J71" s="46" t="str">
        <f>VLOOKUP(I71,'DESCRICAO PRODUTO'!$A:$C,2,0)</f>
        <v>MICRO-ONDAS MO-01-21-B 127V/60HZ</v>
      </c>
      <c r="K71" s="41" t="str">
        <f>VLOOKUP(I71,'DESCRICAO PRODUTO'!$A:$C,3,0)</f>
        <v>MO 21L</v>
      </c>
      <c r="L71" s="50">
        <v>457</v>
      </c>
      <c r="M71" s="50">
        <v>457</v>
      </c>
      <c r="N71" s="51">
        <f t="shared" si="1"/>
        <v>0</v>
      </c>
      <c r="O71" s="40">
        <v>46153</v>
      </c>
      <c r="P71" s="40">
        <v>46163</v>
      </c>
      <c r="Q71" s="34" t="s">
        <v>455</v>
      </c>
      <c r="R71" s="18"/>
      <c r="S71" s="18">
        <v>30369</v>
      </c>
      <c r="T71" s="18" t="s">
        <v>464</v>
      </c>
      <c r="U71" s="33">
        <v>46188</v>
      </c>
    </row>
    <row r="72" spans="1:21" ht="15" customHeight="1">
      <c r="A72" s="48">
        <v>1</v>
      </c>
      <c r="B72" s="40">
        <v>46065</v>
      </c>
      <c r="C72" s="41" t="s">
        <v>240</v>
      </c>
      <c r="D72" s="41" t="s">
        <v>7</v>
      </c>
      <c r="E72" s="49" t="s">
        <v>144</v>
      </c>
      <c r="F72" s="41" t="s">
        <v>238</v>
      </c>
      <c r="G72" s="41" t="s">
        <v>233</v>
      </c>
      <c r="H72" s="41" t="s">
        <v>482</v>
      </c>
      <c r="I72" s="41" t="s">
        <v>72</v>
      </c>
      <c r="J72" s="46" t="str">
        <f>VLOOKUP(I72,'DESCRICAO PRODUTO'!$A:$C,2,0)</f>
        <v>MICRO-ONDAS MO-01-21-B 127V/60HZ</v>
      </c>
      <c r="K72" s="41" t="str">
        <f>VLOOKUP(I72,'DESCRICAO PRODUTO'!$A:$C,3,0)</f>
        <v>MO 21L</v>
      </c>
      <c r="L72" s="50">
        <v>457</v>
      </c>
      <c r="M72" s="50">
        <v>457</v>
      </c>
      <c r="N72" s="51">
        <f t="shared" si="1"/>
        <v>0</v>
      </c>
      <c r="O72" s="40">
        <v>46153</v>
      </c>
      <c r="P72" s="40">
        <v>46163</v>
      </c>
      <c r="Q72" s="34" t="s">
        <v>455</v>
      </c>
      <c r="R72" s="18"/>
      <c r="S72" s="18">
        <v>30369</v>
      </c>
      <c r="T72" s="18" t="s">
        <v>464</v>
      </c>
      <c r="U72" s="33">
        <v>46188</v>
      </c>
    </row>
    <row r="73" spans="1:21" ht="15" customHeight="1">
      <c r="A73" s="48">
        <v>1</v>
      </c>
      <c r="B73" s="40">
        <v>46065</v>
      </c>
      <c r="C73" s="41" t="s">
        <v>240</v>
      </c>
      <c r="D73" s="41" t="s">
        <v>7</v>
      </c>
      <c r="E73" s="49" t="s">
        <v>145</v>
      </c>
      <c r="F73" s="41" t="s">
        <v>146</v>
      </c>
      <c r="G73" s="41" t="s">
        <v>233</v>
      </c>
      <c r="H73" s="41" t="s">
        <v>481</v>
      </c>
      <c r="I73" s="41" t="s">
        <v>22</v>
      </c>
      <c r="J73" s="46" t="str">
        <f>VLOOKUP(I73,'DESCRICAO PRODUTO'!$A:$C,2,0)</f>
        <v>MICRO-ONDAS MO-01-21-B 220V/60HZ .</v>
      </c>
      <c r="K73" s="41" t="str">
        <f>VLOOKUP(I73,'DESCRICAO PRODUTO'!$A:$C,3,0)</f>
        <v>MO 21L</v>
      </c>
      <c r="L73" s="50">
        <v>229</v>
      </c>
      <c r="M73" s="50">
        <v>229</v>
      </c>
      <c r="N73" s="51">
        <f t="shared" si="1"/>
        <v>0</v>
      </c>
      <c r="O73" s="40">
        <v>46091</v>
      </c>
      <c r="P73" s="40">
        <v>46106</v>
      </c>
      <c r="Q73" s="34" t="s">
        <v>455</v>
      </c>
      <c r="R73" s="18"/>
      <c r="S73" s="18">
        <v>29831</v>
      </c>
      <c r="T73" s="18" t="s">
        <v>337</v>
      </c>
      <c r="U73" s="33">
        <v>46126</v>
      </c>
    </row>
    <row r="74" spans="1:21" ht="15" customHeight="1">
      <c r="A74" s="48">
        <v>1</v>
      </c>
      <c r="B74" s="40">
        <v>46065</v>
      </c>
      <c r="C74" s="41" t="s">
        <v>240</v>
      </c>
      <c r="D74" s="41" t="s">
        <v>7</v>
      </c>
      <c r="E74" s="49" t="s">
        <v>144</v>
      </c>
      <c r="F74" s="41" t="s">
        <v>238</v>
      </c>
      <c r="G74" s="41" t="s">
        <v>233</v>
      </c>
      <c r="H74" s="41" t="s">
        <v>482</v>
      </c>
      <c r="I74" s="41" t="s">
        <v>22</v>
      </c>
      <c r="J74" s="46" t="str">
        <f>VLOOKUP(I74,'DESCRICAO PRODUTO'!$A:$C,2,0)</f>
        <v>MICRO-ONDAS MO-01-21-B 220V/60HZ .</v>
      </c>
      <c r="K74" s="41" t="str">
        <f>VLOOKUP(I74,'DESCRICAO PRODUTO'!$A:$C,3,0)</f>
        <v>MO 21L</v>
      </c>
      <c r="L74" s="50">
        <v>229</v>
      </c>
      <c r="M74" s="50">
        <v>229</v>
      </c>
      <c r="N74" s="51">
        <f t="shared" si="1"/>
        <v>0</v>
      </c>
      <c r="O74" s="40">
        <v>46153</v>
      </c>
      <c r="P74" s="40">
        <v>46163</v>
      </c>
      <c r="Q74" s="34" t="s">
        <v>455</v>
      </c>
      <c r="R74" s="18"/>
      <c r="S74" s="18">
        <v>30369</v>
      </c>
      <c r="T74" s="18" t="s">
        <v>464</v>
      </c>
      <c r="U74" s="33">
        <v>46188</v>
      </c>
    </row>
    <row r="75" spans="1:21" ht="15" customHeight="1">
      <c r="A75" s="48">
        <v>1</v>
      </c>
      <c r="B75" s="40">
        <v>46065</v>
      </c>
      <c r="C75" s="41" t="s">
        <v>240</v>
      </c>
      <c r="D75" s="41" t="s">
        <v>7</v>
      </c>
      <c r="E75" s="49" t="s">
        <v>143</v>
      </c>
      <c r="F75" s="41" t="s">
        <v>237</v>
      </c>
      <c r="G75" s="41" t="s">
        <v>233</v>
      </c>
      <c r="H75" s="41" t="s">
        <v>482</v>
      </c>
      <c r="I75" s="41" t="s">
        <v>22</v>
      </c>
      <c r="J75" s="46" t="str">
        <f>VLOOKUP(I75,'DESCRICAO PRODUTO'!$A:$C,2,0)</f>
        <v>MICRO-ONDAS MO-01-21-B 220V/60HZ .</v>
      </c>
      <c r="K75" s="41" t="str">
        <f>VLOOKUP(I75,'DESCRICAO PRODUTO'!$A:$C,3,0)</f>
        <v>MO 21L</v>
      </c>
      <c r="L75" s="50">
        <v>229</v>
      </c>
      <c r="M75" s="50">
        <v>229</v>
      </c>
      <c r="N75" s="51">
        <f t="shared" si="1"/>
        <v>0</v>
      </c>
      <c r="O75" s="40">
        <v>46153</v>
      </c>
      <c r="P75" s="40">
        <v>46163</v>
      </c>
      <c r="Q75" s="34" t="s">
        <v>455</v>
      </c>
      <c r="R75" s="18"/>
      <c r="S75" s="18">
        <v>30369</v>
      </c>
      <c r="T75" s="18" t="s">
        <v>464</v>
      </c>
      <c r="U75" s="33">
        <v>46188</v>
      </c>
    </row>
    <row r="76" spans="1:21" ht="15" customHeight="1">
      <c r="A76" s="48">
        <v>1</v>
      </c>
      <c r="B76" s="40">
        <v>46065</v>
      </c>
      <c r="C76" s="41" t="s">
        <v>240</v>
      </c>
      <c r="D76" s="41" t="s">
        <v>7</v>
      </c>
      <c r="E76" s="49" t="s">
        <v>311</v>
      </c>
      <c r="F76" s="41" t="s">
        <v>146</v>
      </c>
      <c r="G76" s="41" t="s">
        <v>233</v>
      </c>
      <c r="H76" s="41" t="s">
        <v>481</v>
      </c>
      <c r="I76" s="41" t="s">
        <v>28</v>
      </c>
      <c r="J76" s="46" t="str">
        <f>VLOOKUP(I76,'DESCRICAO PRODUTO'!$A:$C,2,0)</f>
        <v>MICRO-ONDAS MO-01-21-B 220V/60HZ .</v>
      </c>
      <c r="K76" s="41" t="str">
        <f>VLOOKUP(I76,'DESCRICAO PRODUTO'!$A:$C,3,0)</f>
        <v>MO 21L</v>
      </c>
      <c r="L76" s="50">
        <v>98</v>
      </c>
      <c r="M76" s="50">
        <v>98</v>
      </c>
      <c r="N76" s="51">
        <f t="shared" si="1"/>
        <v>0</v>
      </c>
      <c r="O76" s="40">
        <v>46091</v>
      </c>
      <c r="P76" s="40">
        <v>46106</v>
      </c>
      <c r="Q76" s="34" t="s">
        <v>455</v>
      </c>
      <c r="R76" s="18"/>
      <c r="S76" s="18">
        <v>29831</v>
      </c>
      <c r="T76" s="18" t="s">
        <v>337</v>
      </c>
      <c r="U76" s="33">
        <v>46126</v>
      </c>
    </row>
    <row r="77" spans="1:21" ht="15" customHeight="1">
      <c r="A77" s="48">
        <v>1</v>
      </c>
      <c r="B77" s="40">
        <v>46065</v>
      </c>
      <c r="C77" s="41" t="s">
        <v>240</v>
      </c>
      <c r="D77" s="41" t="s">
        <v>7</v>
      </c>
      <c r="E77" s="49" t="s">
        <v>143</v>
      </c>
      <c r="F77" s="41" t="s">
        <v>237</v>
      </c>
      <c r="G77" s="41" t="s">
        <v>233</v>
      </c>
      <c r="H77" s="41" t="s">
        <v>482</v>
      </c>
      <c r="I77" s="41" t="s">
        <v>28</v>
      </c>
      <c r="J77" s="46" t="str">
        <f>VLOOKUP(I77,'DESCRICAO PRODUTO'!$A:$C,2,0)</f>
        <v>MICRO-ONDAS MO-01-21-B 220V/60HZ .</v>
      </c>
      <c r="K77" s="41" t="str">
        <f>VLOOKUP(I77,'DESCRICAO PRODUTO'!$A:$C,3,0)</f>
        <v>MO 21L</v>
      </c>
      <c r="L77" s="50">
        <v>98</v>
      </c>
      <c r="M77" s="50">
        <v>98</v>
      </c>
      <c r="N77" s="51">
        <f t="shared" si="1"/>
        <v>0</v>
      </c>
      <c r="O77" s="40">
        <v>46153</v>
      </c>
      <c r="P77" s="40">
        <v>46163</v>
      </c>
      <c r="Q77" s="34" t="s">
        <v>455</v>
      </c>
      <c r="R77" s="18"/>
      <c r="S77" s="18">
        <v>30369</v>
      </c>
      <c r="T77" s="18" t="s">
        <v>464</v>
      </c>
      <c r="U77" s="33">
        <v>46188</v>
      </c>
    </row>
    <row r="78" spans="1:21" ht="15" customHeight="1">
      <c r="A78" s="48">
        <v>1</v>
      </c>
      <c r="B78" s="40">
        <v>46065</v>
      </c>
      <c r="C78" s="41" t="s">
        <v>240</v>
      </c>
      <c r="D78" s="41" t="s">
        <v>7</v>
      </c>
      <c r="E78" s="49" t="s">
        <v>144</v>
      </c>
      <c r="F78" s="41" t="s">
        <v>238</v>
      </c>
      <c r="G78" s="41" t="s">
        <v>233</v>
      </c>
      <c r="H78" s="41" t="s">
        <v>482</v>
      </c>
      <c r="I78" s="41" t="s">
        <v>28</v>
      </c>
      <c r="J78" s="46" t="str">
        <f>VLOOKUP(I78,'DESCRICAO PRODUTO'!$A:$C,2,0)</f>
        <v>MICRO-ONDAS MO-01-21-B 220V/60HZ .</v>
      </c>
      <c r="K78" s="41" t="str">
        <f>VLOOKUP(I78,'DESCRICAO PRODUTO'!$A:$C,3,0)</f>
        <v>MO 21L</v>
      </c>
      <c r="L78" s="50">
        <v>98</v>
      </c>
      <c r="M78" s="50">
        <v>98</v>
      </c>
      <c r="N78" s="51">
        <f t="shared" si="1"/>
        <v>0</v>
      </c>
      <c r="O78" s="40">
        <v>46153</v>
      </c>
      <c r="P78" s="40">
        <v>46163</v>
      </c>
      <c r="Q78" s="34" t="s">
        <v>455</v>
      </c>
      <c r="R78" s="18"/>
      <c r="S78" s="18">
        <v>30369</v>
      </c>
      <c r="T78" s="18" t="s">
        <v>464</v>
      </c>
      <c r="U78" s="33">
        <v>46188</v>
      </c>
    </row>
    <row r="79" spans="1:21" ht="15" customHeight="1">
      <c r="A79" s="48">
        <v>1</v>
      </c>
      <c r="B79" s="40">
        <v>46065</v>
      </c>
      <c r="C79" s="41" t="s">
        <v>240</v>
      </c>
      <c r="D79" s="41" t="s">
        <v>7</v>
      </c>
      <c r="E79" s="49" t="s">
        <v>156</v>
      </c>
      <c r="F79" s="41" t="s">
        <v>191</v>
      </c>
      <c r="G79" s="41" t="s">
        <v>233</v>
      </c>
      <c r="H79" s="41" t="s">
        <v>481</v>
      </c>
      <c r="I79" s="41" t="s">
        <v>82</v>
      </c>
      <c r="J79" s="46" t="str">
        <f>VLOOKUP(I79,'DESCRICAO PRODUTO'!$A:$C,2,0)</f>
        <v>MICRO-ONDAS MO-01-21-E 127V/60HZ</v>
      </c>
      <c r="K79" s="41" t="str">
        <f>VLOOKUP(I79,'DESCRICAO PRODUTO'!$A:$C,3,0)</f>
        <v>MO 21L</v>
      </c>
      <c r="L79" s="50">
        <v>24</v>
      </c>
      <c r="M79" s="50">
        <v>24</v>
      </c>
      <c r="N79" s="51">
        <f t="shared" si="1"/>
        <v>0</v>
      </c>
      <c r="O79" s="40">
        <v>46091</v>
      </c>
      <c r="P79" s="40">
        <v>46106</v>
      </c>
      <c r="Q79" s="34" t="s">
        <v>455</v>
      </c>
      <c r="R79" s="18"/>
      <c r="S79" s="18">
        <v>29831</v>
      </c>
      <c r="T79" s="18" t="s">
        <v>337</v>
      </c>
      <c r="U79" s="33">
        <v>46126</v>
      </c>
    </row>
    <row r="80" spans="1:21" ht="15" customHeight="1">
      <c r="A80" s="48">
        <v>1</v>
      </c>
      <c r="B80" s="40">
        <v>46065</v>
      </c>
      <c r="C80" s="41" t="s">
        <v>240</v>
      </c>
      <c r="D80" s="41" t="s">
        <v>7</v>
      </c>
      <c r="E80" s="49" t="s">
        <v>144</v>
      </c>
      <c r="F80" s="41" t="s">
        <v>238</v>
      </c>
      <c r="G80" s="41" t="s">
        <v>233</v>
      </c>
      <c r="H80" s="41" t="s">
        <v>482</v>
      </c>
      <c r="I80" s="41" t="s">
        <v>82</v>
      </c>
      <c r="J80" s="46" t="str">
        <f>VLOOKUP(I80,'DESCRICAO PRODUTO'!$A:$C,2,0)</f>
        <v>MICRO-ONDAS MO-01-21-E 127V/60HZ</v>
      </c>
      <c r="K80" s="41" t="str">
        <f>VLOOKUP(I80,'DESCRICAO PRODUTO'!$A:$C,3,0)</f>
        <v>MO 21L</v>
      </c>
      <c r="L80" s="50">
        <v>24</v>
      </c>
      <c r="M80" s="50">
        <v>24</v>
      </c>
      <c r="N80" s="51">
        <f t="shared" si="1"/>
        <v>0</v>
      </c>
      <c r="O80" s="40">
        <v>46153</v>
      </c>
      <c r="P80" s="40">
        <v>46163</v>
      </c>
      <c r="Q80" s="34" t="s">
        <v>455</v>
      </c>
      <c r="R80" s="18"/>
      <c r="S80" s="18">
        <v>30369</v>
      </c>
      <c r="T80" s="18" t="s">
        <v>464</v>
      </c>
      <c r="U80" s="33">
        <v>46188</v>
      </c>
    </row>
    <row r="81" spans="1:21" ht="15" customHeight="1">
      <c r="A81" s="48">
        <v>1</v>
      </c>
      <c r="B81" s="40">
        <v>46065</v>
      </c>
      <c r="C81" s="41" t="s">
        <v>240</v>
      </c>
      <c r="D81" s="41" t="s">
        <v>7</v>
      </c>
      <c r="E81" s="49" t="s">
        <v>143</v>
      </c>
      <c r="F81" s="41" t="s">
        <v>237</v>
      </c>
      <c r="G81" s="41" t="s">
        <v>233</v>
      </c>
      <c r="H81" s="41" t="s">
        <v>482</v>
      </c>
      <c r="I81" s="41" t="s">
        <v>82</v>
      </c>
      <c r="J81" s="46" t="str">
        <f>VLOOKUP(I81,'DESCRICAO PRODUTO'!$A:$C,2,0)</f>
        <v>MICRO-ONDAS MO-01-21-E 127V/60HZ</v>
      </c>
      <c r="K81" s="41" t="str">
        <f>VLOOKUP(I81,'DESCRICAO PRODUTO'!$A:$C,3,0)</f>
        <v>MO 21L</v>
      </c>
      <c r="L81" s="50">
        <v>24</v>
      </c>
      <c r="M81" s="50">
        <v>24</v>
      </c>
      <c r="N81" s="51">
        <f t="shared" si="1"/>
        <v>0</v>
      </c>
      <c r="O81" s="40">
        <v>46153</v>
      </c>
      <c r="P81" s="40">
        <v>46163</v>
      </c>
      <c r="Q81" s="34" t="s">
        <v>455</v>
      </c>
      <c r="R81" s="18"/>
      <c r="S81" s="18">
        <v>30369</v>
      </c>
      <c r="T81" s="18" t="s">
        <v>464</v>
      </c>
      <c r="U81" s="33">
        <v>46188</v>
      </c>
    </row>
    <row r="82" spans="1:21" ht="15" customHeight="1">
      <c r="A82" s="48">
        <v>1</v>
      </c>
      <c r="B82" s="40">
        <v>46065</v>
      </c>
      <c r="C82" s="41" t="s">
        <v>240</v>
      </c>
      <c r="D82" s="41" t="s">
        <v>7</v>
      </c>
      <c r="E82" s="49" t="s">
        <v>156</v>
      </c>
      <c r="F82" s="41" t="s">
        <v>191</v>
      </c>
      <c r="G82" s="41" t="s">
        <v>233</v>
      </c>
      <c r="H82" s="41" t="s">
        <v>481</v>
      </c>
      <c r="I82" s="41" t="s">
        <v>222</v>
      </c>
      <c r="J82" s="46" t="str">
        <f>VLOOKUP(I82,'DESCRICAO PRODUTO'!$A:$C,2,0)</f>
        <v>MICRO-ONDAS MO-01-21-E 220V/60HZ</v>
      </c>
      <c r="K82" s="41" t="str">
        <f>VLOOKUP(I82,'DESCRICAO PRODUTO'!$A:$C,3,0)</f>
        <v>MO 21L</v>
      </c>
      <c r="L82" s="50">
        <v>72</v>
      </c>
      <c r="M82" s="50">
        <v>72</v>
      </c>
      <c r="N82" s="51">
        <f t="shared" si="1"/>
        <v>0</v>
      </c>
      <c r="O82" s="40">
        <v>46091</v>
      </c>
      <c r="P82" s="40">
        <v>46106</v>
      </c>
      <c r="Q82" s="34" t="s">
        <v>455</v>
      </c>
      <c r="R82" s="18"/>
      <c r="S82" s="18">
        <v>29831</v>
      </c>
      <c r="T82" s="18" t="s">
        <v>337</v>
      </c>
      <c r="U82" s="33">
        <v>46126</v>
      </c>
    </row>
    <row r="83" spans="1:21" ht="15" customHeight="1">
      <c r="A83" s="48">
        <v>1</v>
      </c>
      <c r="B83" s="40">
        <v>46065</v>
      </c>
      <c r="C83" s="41" t="s">
        <v>240</v>
      </c>
      <c r="D83" s="41" t="s">
        <v>7</v>
      </c>
      <c r="E83" s="49" t="s">
        <v>144</v>
      </c>
      <c r="F83" s="41" t="s">
        <v>238</v>
      </c>
      <c r="G83" s="41" t="s">
        <v>233</v>
      </c>
      <c r="H83" s="41" t="s">
        <v>482</v>
      </c>
      <c r="I83" s="41" t="s">
        <v>222</v>
      </c>
      <c r="J83" s="46" t="str">
        <f>VLOOKUP(I83,'DESCRICAO PRODUTO'!$A:$C,2,0)</f>
        <v>MICRO-ONDAS MO-01-21-E 220V/60HZ</v>
      </c>
      <c r="K83" s="41" t="str">
        <f>VLOOKUP(I83,'DESCRICAO PRODUTO'!$A:$C,3,0)</f>
        <v>MO 21L</v>
      </c>
      <c r="L83" s="50">
        <v>72</v>
      </c>
      <c r="M83" s="50">
        <v>72</v>
      </c>
      <c r="N83" s="51">
        <f t="shared" si="1"/>
        <v>0</v>
      </c>
      <c r="O83" s="40">
        <v>46153</v>
      </c>
      <c r="P83" s="40">
        <v>46163</v>
      </c>
      <c r="Q83" s="34" t="s">
        <v>455</v>
      </c>
      <c r="R83" s="18"/>
      <c r="S83" s="18">
        <v>30369</v>
      </c>
      <c r="T83" s="18" t="s">
        <v>464</v>
      </c>
      <c r="U83" s="33">
        <v>46188</v>
      </c>
    </row>
    <row r="84" spans="1:21" ht="15" customHeight="1">
      <c r="A84" s="48">
        <v>1</v>
      </c>
      <c r="B84" s="40">
        <v>46065</v>
      </c>
      <c r="C84" s="41" t="s">
        <v>240</v>
      </c>
      <c r="D84" s="41" t="s">
        <v>7</v>
      </c>
      <c r="E84" s="49" t="s">
        <v>143</v>
      </c>
      <c r="F84" s="41" t="s">
        <v>237</v>
      </c>
      <c r="G84" s="41" t="s">
        <v>233</v>
      </c>
      <c r="H84" s="41" t="s">
        <v>482</v>
      </c>
      <c r="I84" s="41" t="s">
        <v>222</v>
      </c>
      <c r="J84" s="46" t="str">
        <f>VLOOKUP(I84,'DESCRICAO PRODUTO'!$A:$C,2,0)</f>
        <v>MICRO-ONDAS MO-01-21-E 220V/60HZ</v>
      </c>
      <c r="K84" s="41" t="str">
        <f>VLOOKUP(I84,'DESCRICAO PRODUTO'!$A:$C,3,0)</f>
        <v>MO 21L</v>
      </c>
      <c r="L84" s="50">
        <v>72</v>
      </c>
      <c r="M84" s="50">
        <v>72</v>
      </c>
      <c r="N84" s="51">
        <f t="shared" si="1"/>
        <v>0</v>
      </c>
      <c r="O84" s="40">
        <v>46153</v>
      </c>
      <c r="P84" s="40">
        <v>46163</v>
      </c>
      <c r="Q84" s="34" t="s">
        <v>455</v>
      </c>
      <c r="R84" s="18"/>
      <c r="S84" s="18">
        <v>30369</v>
      </c>
      <c r="T84" s="18" t="s">
        <v>464</v>
      </c>
      <c r="U84" s="33">
        <v>46188</v>
      </c>
    </row>
    <row r="85" spans="1:21" ht="15" customHeight="1">
      <c r="A85" s="48">
        <v>1</v>
      </c>
      <c r="B85" s="40">
        <v>46065</v>
      </c>
      <c r="C85" s="41" t="s">
        <v>240</v>
      </c>
      <c r="D85" s="41" t="s">
        <v>7</v>
      </c>
      <c r="E85" s="49" t="s">
        <v>152</v>
      </c>
      <c r="F85" s="41" t="s">
        <v>190</v>
      </c>
      <c r="G85" s="41" t="s">
        <v>233</v>
      </c>
      <c r="H85" s="41" t="s">
        <v>481</v>
      </c>
      <c r="I85" s="41" t="s">
        <v>19</v>
      </c>
      <c r="J85" s="46" t="str">
        <f>VLOOKUP(I85,'DESCRICAO PRODUTO'!$A:$C,2,0)</f>
        <v>MICRO-ONDAS MO-01-21-W 127V/60HZ .</v>
      </c>
      <c r="K85" s="41" t="str">
        <f>VLOOKUP(I85,'DESCRICAO PRODUTO'!$A:$C,3,0)</f>
        <v>MO 21L</v>
      </c>
      <c r="L85" s="50">
        <v>87</v>
      </c>
      <c r="M85" s="50">
        <v>87</v>
      </c>
      <c r="N85" s="51">
        <f t="shared" si="1"/>
        <v>0</v>
      </c>
      <c r="O85" s="40">
        <v>46091</v>
      </c>
      <c r="P85" s="40">
        <v>46106</v>
      </c>
      <c r="Q85" s="34" t="s">
        <v>455</v>
      </c>
      <c r="R85" s="18"/>
      <c r="S85" s="18">
        <v>29831</v>
      </c>
      <c r="T85" s="18" t="s">
        <v>337</v>
      </c>
      <c r="U85" s="33">
        <v>46126</v>
      </c>
    </row>
    <row r="86" spans="1:21" ht="15" customHeight="1">
      <c r="A86" s="48">
        <v>1</v>
      </c>
      <c r="B86" s="40">
        <v>46065</v>
      </c>
      <c r="C86" s="41" t="s">
        <v>240</v>
      </c>
      <c r="D86" s="41" t="s">
        <v>7</v>
      </c>
      <c r="E86" s="49" t="s">
        <v>144</v>
      </c>
      <c r="F86" s="41" t="s">
        <v>238</v>
      </c>
      <c r="G86" s="41" t="s">
        <v>233</v>
      </c>
      <c r="H86" s="41" t="s">
        <v>482</v>
      </c>
      <c r="I86" s="41" t="s">
        <v>19</v>
      </c>
      <c r="J86" s="46" t="str">
        <f>VLOOKUP(I86,'DESCRICAO PRODUTO'!$A:$C,2,0)</f>
        <v>MICRO-ONDAS MO-01-21-W 127V/60HZ .</v>
      </c>
      <c r="K86" s="41" t="str">
        <f>VLOOKUP(I86,'DESCRICAO PRODUTO'!$A:$C,3,0)</f>
        <v>MO 21L</v>
      </c>
      <c r="L86" s="50">
        <v>87</v>
      </c>
      <c r="M86" s="50">
        <v>87</v>
      </c>
      <c r="N86" s="51">
        <f t="shared" si="1"/>
        <v>0</v>
      </c>
      <c r="O86" s="40">
        <v>46153</v>
      </c>
      <c r="P86" s="40">
        <v>46163</v>
      </c>
      <c r="Q86" s="34" t="s">
        <v>455</v>
      </c>
      <c r="R86" s="18"/>
      <c r="S86" s="18">
        <v>30369</v>
      </c>
      <c r="T86" s="18" t="s">
        <v>464</v>
      </c>
      <c r="U86" s="33">
        <v>46188</v>
      </c>
    </row>
    <row r="87" spans="1:21" ht="15" customHeight="1">
      <c r="A87" s="48">
        <v>1</v>
      </c>
      <c r="B87" s="40">
        <v>46065</v>
      </c>
      <c r="C87" s="41" t="s">
        <v>240</v>
      </c>
      <c r="D87" s="41" t="s">
        <v>7</v>
      </c>
      <c r="E87" s="49" t="s">
        <v>143</v>
      </c>
      <c r="F87" s="41" t="s">
        <v>237</v>
      </c>
      <c r="G87" s="41" t="s">
        <v>233</v>
      </c>
      <c r="H87" s="41" t="s">
        <v>482</v>
      </c>
      <c r="I87" s="41" t="s">
        <v>19</v>
      </c>
      <c r="J87" s="46" t="str">
        <f>VLOOKUP(I87,'DESCRICAO PRODUTO'!$A:$C,2,0)</f>
        <v>MICRO-ONDAS MO-01-21-W 127V/60HZ .</v>
      </c>
      <c r="K87" s="41" t="str">
        <f>VLOOKUP(I87,'DESCRICAO PRODUTO'!$A:$C,3,0)</f>
        <v>MO 21L</v>
      </c>
      <c r="L87" s="50">
        <v>87</v>
      </c>
      <c r="M87" s="50">
        <v>87</v>
      </c>
      <c r="N87" s="51">
        <f t="shared" si="1"/>
        <v>0</v>
      </c>
      <c r="O87" s="40">
        <v>46153</v>
      </c>
      <c r="P87" s="40">
        <v>46163</v>
      </c>
      <c r="Q87" s="34" t="s">
        <v>455</v>
      </c>
      <c r="R87" s="18"/>
      <c r="S87" s="18">
        <v>30369</v>
      </c>
      <c r="T87" s="18" t="s">
        <v>464</v>
      </c>
      <c r="U87" s="33">
        <v>46188</v>
      </c>
    </row>
    <row r="88" spans="1:21" ht="15" customHeight="1">
      <c r="A88" s="48">
        <v>1</v>
      </c>
      <c r="B88" s="40">
        <v>46065</v>
      </c>
      <c r="C88" s="41" t="s">
        <v>240</v>
      </c>
      <c r="D88" s="41" t="s">
        <v>7</v>
      </c>
      <c r="E88" s="49" t="s">
        <v>312</v>
      </c>
      <c r="F88" s="41" t="s">
        <v>325</v>
      </c>
      <c r="G88" s="41" t="s">
        <v>233</v>
      </c>
      <c r="H88" s="41" t="s">
        <v>481</v>
      </c>
      <c r="I88" s="41" t="s">
        <v>75</v>
      </c>
      <c r="J88" s="46" t="str">
        <f>VLOOKUP(I88,'DESCRICAO PRODUTO'!$A:$C,2,0)</f>
        <v>MICRO-ONDAS MO-01-21-W 127V/60HZ .</v>
      </c>
      <c r="K88" s="41" t="str">
        <f>VLOOKUP(I88,'DESCRICAO PRODUTO'!$A:$C,3,0)</f>
        <v>MO 21L</v>
      </c>
      <c r="L88" s="50">
        <v>232</v>
      </c>
      <c r="M88" s="50">
        <v>232</v>
      </c>
      <c r="N88" s="51">
        <f t="shared" si="1"/>
        <v>0</v>
      </c>
      <c r="O88" s="40">
        <v>46091</v>
      </c>
      <c r="P88" s="40">
        <v>46106</v>
      </c>
      <c r="Q88" s="34" t="s">
        <v>455</v>
      </c>
      <c r="R88" s="18"/>
      <c r="S88" s="18">
        <v>29831</v>
      </c>
      <c r="T88" s="18" t="s">
        <v>337</v>
      </c>
      <c r="U88" s="33">
        <v>46126</v>
      </c>
    </row>
    <row r="89" spans="1:21" ht="15" customHeight="1">
      <c r="A89" s="48">
        <v>1</v>
      </c>
      <c r="B89" s="40">
        <v>46065</v>
      </c>
      <c r="C89" s="41" t="s">
        <v>240</v>
      </c>
      <c r="D89" s="41" t="s">
        <v>7</v>
      </c>
      <c r="E89" s="49" t="s">
        <v>144</v>
      </c>
      <c r="F89" s="41" t="s">
        <v>238</v>
      </c>
      <c r="G89" s="41" t="s">
        <v>233</v>
      </c>
      <c r="H89" s="41" t="s">
        <v>482</v>
      </c>
      <c r="I89" s="41" t="s">
        <v>75</v>
      </c>
      <c r="J89" s="46" t="str">
        <f>VLOOKUP(I89,'DESCRICAO PRODUTO'!$A:$C,2,0)</f>
        <v>MICRO-ONDAS MO-01-21-W 127V/60HZ .</v>
      </c>
      <c r="K89" s="41" t="str">
        <f>VLOOKUP(I89,'DESCRICAO PRODUTO'!$A:$C,3,0)</f>
        <v>MO 21L</v>
      </c>
      <c r="L89" s="50">
        <v>232</v>
      </c>
      <c r="M89" s="50">
        <v>232</v>
      </c>
      <c r="N89" s="51">
        <f t="shared" si="1"/>
        <v>0</v>
      </c>
      <c r="O89" s="40">
        <v>46153</v>
      </c>
      <c r="P89" s="40">
        <v>46163</v>
      </c>
      <c r="Q89" s="34" t="s">
        <v>455</v>
      </c>
      <c r="R89" s="18"/>
      <c r="S89" s="18">
        <v>30369</v>
      </c>
      <c r="T89" s="18" t="s">
        <v>464</v>
      </c>
      <c r="U89" s="33">
        <v>46188</v>
      </c>
    </row>
    <row r="90" spans="1:21" ht="15" customHeight="1">
      <c r="A90" s="48">
        <v>1</v>
      </c>
      <c r="B90" s="40">
        <v>46065</v>
      </c>
      <c r="C90" s="41" t="s">
        <v>240</v>
      </c>
      <c r="D90" s="41" t="s">
        <v>7</v>
      </c>
      <c r="E90" s="49" t="s">
        <v>143</v>
      </c>
      <c r="F90" s="41" t="s">
        <v>237</v>
      </c>
      <c r="G90" s="41" t="s">
        <v>233</v>
      </c>
      <c r="H90" s="41" t="s">
        <v>482</v>
      </c>
      <c r="I90" s="41" t="s">
        <v>75</v>
      </c>
      <c r="J90" s="46" t="str">
        <f>VLOOKUP(I90,'DESCRICAO PRODUTO'!$A:$C,2,0)</f>
        <v>MICRO-ONDAS MO-01-21-W 127V/60HZ .</v>
      </c>
      <c r="K90" s="41" t="str">
        <f>VLOOKUP(I90,'DESCRICAO PRODUTO'!$A:$C,3,0)</f>
        <v>MO 21L</v>
      </c>
      <c r="L90" s="50">
        <v>232</v>
      </c>
      <c r="M90" s="50">
        <v>232</v>
      </c>
      <c r="N90" s="51">
        <f t="shared" si="1"/>
        <v>0</v>
      </c>
      <c r="O90" s="40">
        <v>46153</v>
      </c>
      <c r="P90" s="40">
        <v>46163</v>
      </c>
      <c r="Q90" s="34" t="s">
        <v>455</v>
      </c>
      <c r="R90" s="18"/>
      <c r="S90" s="18">
        <v>30369</v>
      </c>
      <c r="T90" s="18" t="s">
        <v>464</v>
      </c>
      <c r="U90" s="33">
        <v>46188</v>
      </c>
    </row>
    <row r="91" spans="1:21" ht="15" customHeight="1">
      <c r="A91" s="48">
        <v>1</v>
      </c>
      <c r="B91" s="40">
        <v>46065</v>
      </c>
      <c r="C91" s="41" t="s">
        <v>240</v>
      </c>
      <c r="D91" s="41" t="s">
        <v>7</v>
      </c>
      <c r="E91" s="49" t="s">
        <v>312</v>
      </c>
      <c r="F91" s="41" t="s">
        <v>325</v>
      </c>
      <c r="G91" s="41" t="s">
        <v>233</v>
      </c>
      <c r="H91" s="41" t="s">
        <v>481</v>
      </c>
      <c r="I91" s="41" t="s">
        <v>223</v>
      </c>
      <c r="J91" s="46" t="str">
        <f>VLOOKUP(I91,'DESCRICAO PRODUTO'!$A:$C,2,0)</f>
        <v>MICRO-ONDAS MO-01-21-W 220V/60HZ</v>
      </c>
      <c r="K91" s="41" t="str">
        <f>VLOOKUP(I91,'DESCRICAO PRODUTO'!$A:$C,3,0)</f>
        <v>MO 21L</v>
      </c>
      <c r="L91" s="50">
        <v>22</v>
      </c>
      <c r="M91" s="50">
        <v>22</v>
      </c>
      <c r="N91" s="51">
        <f t="shared" si="1"/>
        <v>0</v>
      </c>
      <c r="O91" s="40">
        <v>46091</v>
      </c>
      <c r="P91" s="40">
        <v>46106</v>
      </c>
      <c r="Q91" s="34" t="s">
        <v>455</v>
      </c>
      <c r="R91" s="18"/>
      <c r="S91" s="18">
        <v>29831</v>
      </c>
      <c r="T91" s="18" t="s">
        <v>337</v>
      </c>
      <c r="U91" s="33">
        <v>46126</v>
      </c>
    </row>
    <row r="92" spans="1:21" ht="15" customHeight="1">
      <c r="A92" s="48">
        <v>1</v>
      </c>
      <c r="B92" s="40">
        <v>46065</v>
      </c>
      <c r="C92" s="41" t="s">
        <v>240</v>
      </c>
      <c r="D92" s="41" t="s">
        <v>7</v>
      </c>
      <c r="E92" s="49" t="s">
        <v>144</v>
      </c>
      <c r="F92" s="41" t="s">
        <v>238</v>
      </c>
      <c r="G92" s="41" t="s">
        <v>233</v>
      </c>
      <c r="H92" s="41" t="s">
        <v>482</v>
      </c>
      <c r="I92" s="41" t="s">
        <v>223</v>
      </c>
      <c r="J92" s="46" t="str">
        <f>VLOOKUP(I92,'DESCRICAO PRODUTO'!$A:$C,2,0)</f>
        <v>MICRO-ONDAS MO-01-21-W 220V/60HZ</v>
      </c>
      <c r="K92" s="41" t="str">
        <f>VLOOKUP(I92,'DESCRICAO PRODUTO'!$A:$C,3,0)</f>
        <v>MO 21L</v>
      </c>
      <c r="L92" s="50">
        <v>22</v>
      </c>
      <c r="M92" s="50">
        <v>22</v>
      </c>
      <c r="N92" s="51">
        <f t="shared" si="1"/>
        <v>0</v>
      </c>
      <c r="O92" s="40">
        <v>46153</v>
      </c>
      <c r="P92" s="40">
        <v>46163</v>
      </c>
      <c r="Q92" s="34" t="s">
        <v>455</v>
      </c>
      <c r="R92" s="18"/>
      <c r="S92" s="18">
        <v>30369</v>
      </c>
      <c r="T92" s="18" t="s">
        <v>464</v>
      </c>
      <c r="U92" s="33">
        <v>46188</v>
      </c>
    </row>
    <row r="93" spans="1:21" ht="15" customHeight="1">
      <c r="A93" s="48">
        <v>1</v>
      </c>
      <c r="B93" s="40">
        <v>46065</v>
      </c>
      <c r="C93" s="41" t="s">
        <v>240</v>
      </c>
      <c r="D93" s="41" t="s">
        <v>7</v>
      </c>
      <c r="E93" s="49" t="s">
        <v>143</v>
      </c>
      <c r="F93" s="41" t="s">
        <v>237</v>
      </c>
      <c r="G93" s="41" t="s">
        <v>233</v>
      </c>
      <c r="H93" s="41" t="s">
        <v>482</v>
      </c>
      <c r="I93" s="41" t="s">
        <v>223</v>
      </c>
      <c r="J93" s="46" t="str">
        <f>VLOOKUP(I93,'DESCRICAO PRODUTO'!$A:$C,2,0)</f>
        <v>MICRO-ONDAS MO-01-21-W 220V/60HZ</v>
      </c>
      <c r="K93" s="41" t="str">
        <f>VLOOKUP(I93,'DESCRICAO PRODUTO'!$A:$C,3,0)</f>
        <v>MO 21L</v>
      </c>
      <c r="L93" s="50">
        <v>22</v>
      </c>
      <c r="M93" s="50">
        <v>22</v>
      </c>
      <c r="N93" s="51">
        <f t="shared" si="1"/>
        <v>0</v>
      </c>
      <c r="O93" s="40">
        <v>46153</v>
      </c>
      <c r="P93" s="40">
        <v>46163</v>
      </c>
      <c r="Q93" s="34" t="s">
        <v>455</v>
      </c>
      <c r="R93" s="18"/>
      <c r="S93" s="18">
        <v>30369</v>
      </c>
      <c r="T93" s="18" t="s">
        <v>464</v>
      </c>
      <c r="U93" s="33">
        <v>46188</v>
      </c>
    </row>
    <row r="94" spans="1:21" ht="15" customHeight="1">
      <c r="A94" s="48">
        <v>1</v>
      </c>
      <c r="B94" s="40">
        <v>46065</v>
      </c>
      <c r="C94" s="41" t="s">
        <v>240</v>
      </c>
      <c r="D94" s="41" t="s">
        <v>7</v>
      </c>
      <c r="E94" s="49" t="s">
        <v>152</v>
      </c>
      <c r="F94" s="41" t="s">
        <v>190</v>
      </c>
      <c r="G94" s="41" t="s">
        <v>233</v>
      </c>
      <c r="H94" s="41" t="s">
        <v>481</v>
      </c>
      <c r="I94" s="41" t="s">
        <v>73</v>
      </c>
      <c r="J94" s="46" t="str">
        <f>VLOOKUP(I94,'DESCRICAO PRODUTO'!$A:$C,2,0)</f>
        <v>MICRO-ONDAS MO-01-21-W 220V/60HZ</v>
      </c>
      <c r="K94" s="41" t="str">
        <f>VLOOKUP(I94,'DESCRICAO PRODUTO'!$A:$C,3,0)</f>
        <v>MO 21L</v>
      </c>
      <c r="L94" s="50">
        <v>513</v>
      </c>
      <c r="M94" s="50">
        <v>513</v>
      </c>
      <c r="N94" s="51">
        <f t="shared" si="1"/>
        <v>0</v>
      </c>
      <c r="O94" s="40">
        <v>46091</v>
      </c>
      <c r="P94" s="40">
        <v>46106</v>
      </c>
      <c r="Q94" s="34" t="s">
        <v>455</v>
      </c>
      <c r="R94" s="18"/>
      <c r="S94" s="18">
        <v>29831</v>
      </c>
      <c r="T94" s="18" t="s">
        <v>337</v>
      </c>
      <c r="U94" s="33">
        <v>46126</v>
      </c>
    </row>
    <row r="95" spans="1:21" ht="15" customHeight="1">
      <c r="A95" s="48">
        <v>1</v>
      </c>
      <c r="B95" s="40">
        <v>46065</v>
      </c>
      <c r="C95" s="41" t="s">
        <v>240</v>
      </c>
      <c r="D95" s="41" t="s">
        <v>7</v>
      </c>
      <c r="E95" s="49" t="s">
        <v>144</v>
      </c>
      <c r="F95" s="41" t="s">
        <v>238</v>
      </c>
      <c r="G95" s="41" t="s">
        <v>233</v>
      </c>
      <c r="H95" s="41" t="s">
        <v>482</v>
      </c>
      <c r="I95" s="41" t="s">
        <v>73</v>
      </c>
      <c r="J95" s="46" t="str">
        <f>VLOOKUP(I95,'DESCRICAO PRODUTO'!$A:$C,2,0)</f>
        <v>MICRO-ONDAS MO-01-21-W 220V/60HZ</v>
      </c>
      <c r="K95" s="41" t="str">
        <f>VLOOKUP(I95,'DESCRICAO PRODUTO'!$A:$C,3,0)</f>
        <v>MO 21L</v>
      </c>
      <c r="L95" s="50">
        <v>139</v>
      </c>
      <c r="M95" s="50">
        <v>139</v>
      </c>
      <c r="N95" s="51">
        <f t="shared" si="1"/>
        <v>0</v>
      </c>
      <c r="O95" s="40">
        <v>46153</v>
      </c>
      <c r="P95" s="40">
        <v>46163</v>
      </c>
      <c r="Q95" s="34" t="s">
        <v>455</v>
      </c>
      <c r="R95" s="18"/>
      <c r="S95" s="18">
        <v>30369</v>
      </c>
      <c r="T95" s="18" t="s">
        <v>464</v>
      </c>
      <c r="U95" s="33">
        <v>46188</v>
      </c>
    </row>
    <row r="96" spans="1:21" ht="15" customHeight="1">
      <c r="A96" s="48">
        <v>1</v>
      </c>
      <c r="B96" s="40">
        <v>46065</v>
      </c>
      <c r="C96" s="41" t="s">
        <v>240</v>
      </c>
      <c r="D96" s="41" t="s">
        <v>7</v>
      </c>
      <c r="E96" s="49" t="s">
        <v>144</v>
      </c>
      <c r="F96" s="41" t="s">
        <v>238</v>
      </c>
      <c r="G96" s="41" t="s">
        <v>233</v>
      </c>
      <c r="H96" s="41" t="s">
        <v>482</v>
      </c>
      <c r="I96" s="41" t="s">
        <v>73</v>
      </c>
      <c r="J96" s="46" t="str">
        <f>VLOOKUP(I96,'DESCRICAO PRODUTO'!$A:$C,2,0)</f>
        <v>MICRO-ONDAS MO-01-21-W 220V/60HZ</v>
      </c>
      <c r="K96" s="41" t="str">
        <f>VLOOKUP(I96,'DESCRICAO PRODUTO'!$A:$C,3,0)</f>
        <v>MO 21L</v>
      </c>
      <c r="L96" s="50">
        <v>374</v>
      </c>
      <c r="M96" s="50">
        <v>374</v>
      </c>
      <c r="N96" s="51">
        <f t="shared" si="1"/>
        <v>0</v>
      </c>
      <c r="O96" s="40">
        <v>46153</v>
      </c>
      <c r="P96" s="40">
        <v>46168</v>
      </c>
      <c r="Q96" s="34" t="s">
        <v>455</v>
      </c>
      <c r="R96" s="18"/>
      <c r="S96" s="18">
        <v>30371</v>
      </c>
      <c r="T96" s="18" t="s">
        <v>473</v>
      </c>
      <c r="U96" s="33">
        <v>46192</v>
      </c>
    </row>
    <row r="97" spans="1:21" ht="15" customHeight="1">
      <c r="A97" s="48">
        <v>1</v>
      </c>
      <c r="B97" s="40">
        <v>46065</v>
      </c>
      <c r="C97" s="41" t="s">
        <v>240</v>
      </c>
      <c r="D97" s="41" t="s">
        <v>7</v>
      </c>
      <c r="E97" s="49" t="s">
        <v>143</v>
      </c>
      <c r="F97" s="41" t="s">
        <v>237</v>
      </c>
      <c r="G97" s="41" t="s">
        <v>233</v>
      </c>
      <c r="H97" s="41" t="s">
        <v>482</v>
      </c>
      <c r="I97" s="41" t="s">
        <v>73</v>
      </c>
      <c r="J97" s="46" t="str">
        <f>VLOOKUP(I97,'DESCRICAO PRODUTO'!$A:$C,2,0)</f>
        <v>MICRO-ONDAS MO-01-21-W 220V/60HZ</v>
      </c>
      <c r="K97" s="41" t="str">
        <f>VLOOKUP(I97,'DESCRICAO PRODUTO'!$A:$C,3,0)</f>
        <v>MO 21L</v>
      </c>
      <c r="L97" s="50">
        <v>139</v>
      </c>
      <c r="M97" s="50">
        <v>139</v>
      </c>
      <c r="N97" s="51">
        <f t="shared" si="1"/>
        <v>0</v>
      </c>
      <c r="O97" s="40">
        <v>46153</v>
      </c>
      <c r="P97" s="40">
        <v>46163</v>
      </c>
      <c r="Q97" s="34" t="s">
        <v>455</v>
      </c>
      <c r="R97" s="18"/>
      <c r="S97" s="18">
        <v>30369</v>
      </c>
      <c r="T97" s="18" t="s">
        <v>464</v>
      </c>
      <c r="U97" s="33">
        <v>46188</v>
      </c>
    </row>
    <row r="98" spans="1:21" ht="15" customHeight="1">
      <c r="A98" s="48">
        <v>1</v>
      </c>
      <c r="B98" s="40">
        <v>46065</v>
      </c>
      <c r="C98" s="41" t="s">
        <v>240</v>
      </c>
      <c r="D98" s="41" t="s">
        <v>7</v>
      </c>
      <c r="E98" s="49" t="s">
        <v>143</v>
      </c>
      <c r="F98" s="41" t="s">
        <v>237</v>
      </c>
      <c r="G98" s="41" t="s">
        <v>233</v>
      </c>
      <c r="H98" s="41" t="s">
        <v>482</v>
      </c>
      <c r="I98" s="41" t="s">
        <v>73</v>
      </c>
      <c r="J98" s="46" t="str">
        <f>VLOOKUP(I98,'DESCRICAO PRODUTO'!$A:$C,2,0)</f>
        <v>MICRO-ONDAS MO-01-21-W 220V/60HZ</v>
      </c>
      <c r="K98" s="41" t="str">
        <f>VLOOKUP(I98,'DESCRICAO PRODUTO'!$A:$C,3,0)</f>
        <v>MO 21L</v>
      </c>
      <c r="L98" s="50">
        <v>374</v>
      </c>
      <c r="M98" s="50">
        <v>374</v>
      </c>
      <c r="N98" s="51">
        <f t="shared" si="1"/>
        <v>0</v>
      </c>
      <c r="O98" s="40">
        <v>46153</v>
      </c>
      <c r="P98" s="40">
        <v>46168</v>
      </c>
      <c r="Q98" s="34" t="s">
        <v>455</v>
      </c>
      <c r="R98" s="18"/>
      <c r="S98" s="18">
        <v>30371</v>
      </c>
      <c r="T98" s="18" t="s">
        <v>473</v>
      </c>
      <c r="U98" s="33">
        <v>46192</v>
      </c>
    </row>
    <row r="99" spans="1:21" ht="15" customHeight="1">
      <c r="A99" s="48">
        <v>1</v>
      </c>
      <c r="B99" s="40">
        <v>46065</v>
      </c>
      <c r="C99" s="41" t="s">
        <v>240</v>
      </c>
      <c r="D99" s="41" t="s">
        <v>7</v>
      </c>
      <c r="E99" s="49" t="s">
        <v>147</v>
      </c>
      <c r="F99" s="41" t="s">
        <v>148</v>
      </c>
      <c r="G99" s="41" t="s">
        <v>233</v>
      </c>
      <c r="H99" s="41" t="s">
        <v>481</v>
      </c>
      <c r="I99" s="41" t="s">
        <v>84</v>
      </c>
      <c r="J99" s="46" t="str">
        <f>VLOOKUP(I99,'DESCRICAO PRODUTO'!$A:$C,2,0)</f>
        <v>MICRO-ONDAS MO-02-34-B 127V/60HZ .</v>
      </c>
      <c r="K99" s="41" t="str">
        <f>VLOOKUP(I99,'DESCRICAO PRODUTO'!$A:$C,3,0)</f>
        <v>MO 34L</v>
      </c>
      <c r="L99" s="50">
        <v>34</v>
      </c>
      <c r="M99" s="50">
        <v>34</v>
      </c>
      <c r="N99" s="51">
        <f t="shared" si="1"/>
        <v>0</v>
      </c>
      <c r="O99" s="40">
        <v>46091</v>
      </c>
      <c r="P99" s="40">
        <v>46106</v>
      </c>
      <c r="Q99" s="34" t="s">
        <v>455</v>
      </c>
      <c r="R99" s="18"/>
      <c r="S99" s="18">
        <v>29831</v>
      </c>
      <c r="T99" s="18" t="s">
        <v>337</v>
      </c>
      <c r="U99" s="33">
        <v>46126</v>
      </c>
    </row>
    <row r="100" spans="1:21" ht="15" customHeight="1">
      <c r="A100" s="48">
        <v>1</v>
      </c>
      <c r="B100" s="40">
        <v>46065</v>
      </c>
      <c r="C100" s="41" t="s">
        <v>240</v>
      </c>
      <c r="D100" s="41" t="s">
        <v>7</v>
      </c>
      <c r="E100" s="49" t="s">
        <v>511</v>
      </c>
      <c r="F100" s="41" t="s">
        <v>201</v>
      </c>
      <c r="G100" s="41" t="s">
        <v>233</v>
      </c>
      <c r="H100" s="41" t="s">
        <v>482</v>
      </c>
      <c r="I100" s="41" t="s">
        <v>84</v>
      </c>
      <c r="J100" s="46" t="str">
        <f>VLOOKUP(I100,'DESCRICAO PRODUTO'!$A:$C,2,0)</f>
        <v>MICRO-ONDAS MO-02-34-B 127V/60HZ .</v>
      </c>
      <c r="K100" s="41" t="str">
        <f>VLOOKUP(I100,'DESCRICAO PRODUTO'!$A:$C,3,0)</f>
        <v>MO 34L</v>
      </c>
      <c r="L100" s="50">
        <v>34</v>
      </c>
      <c r="M100" s="50">
        <v>34</v>
      </c>
      <c r="N100" s="51">
        <f t="shared" si="1"/>
        <v>0</v>
      </c>
      <c r="O100" s="40">
        <v>46240</v>
      </c>
      <c r="P100" s="40">
        <v>46245</v>
      </c>
      <c r="Q100" s="34" t="s">
        <v>455</v>
      </c>
      <c r="R100" s="18" t="s">
        <v>513</v>
      </c>
      <c r="S100" s="18">
        <v>31170</v>
      </c>
      <c r="T100" s="18" t="s">
        <v>516</v>
      </c>
      <c r="U100" s="33">
        <v>46260</v>
      </c>
    </row>
    <row r="101" spans="1:21" ht="15" customHeight="1">
      <c r="A101" s="48">
        <v>1</v>
      </c>
      <c r="B101" s="40">
        <v>46065</v>
      </c>
      <c r="C101" s="41" t="s">
        <v>240</v>
      </c>
      <c r="D101" s="41" t="s">
        <v>7</v>
      </c>
      <c r="E101" s="49" t="s">
        <v>510</v>
      </c>
      <c r="F101" s="41" t="s">
        <v>198</v>
      </c>
      <c r="G101" s="41" t="s">
        <v>233</v>
      </c>
      <c r="H101" s="41" t="s">
        <v>482</v>
      </c>
      <c r="I101" s="41" t="s">
        <v>84</v>
      </c>
      <c r="J101" s="46" t="str">
        <f>VLOOKUP(I101,'DESCRICAO PRODUTO'!$A:$C,2,0)</f>
        <v>MICRO-ONDAS MO-02-34-B 127V/60HZ .</v>
      </c>
      <c r="K101" s="41" t="str">
        <f>VLOOKUP(I101,'DESCRICAO PRODUTO'!$A:$C,3,0)</f>
        <v>MO 34L</v>
      </c>
      <c r="L101" s="50">
        <v>34</v>
      </c>
      <c r="M101" s="50">
        <v>34</v>
      </c>
      <c r="N101" s="51">
        <f t="shared" si="1"/>
        <v>0</v>
      </c>
      <c r="O101" s="40">
        <v>46240</v>
      </c>
      <c r="P101" s="40">
        <v>46245</v>
      </c>
      <c r="Q101" s="34" t="s">
        <v>455</v>
      </c>
      <c r="R101" s="18" t="s">
        <v>513</v>
      </c>
      <c r="S101" s="18">
        <v>31170</v>
      </c>
      <c r="T101" s="18" t="s">
        <v>516</v>
      </c>
      <c r="U101" s="33">
        <v>46260</v>
      </c>
    </row>
    <row r="102" spans="1:21" ht="15" customHeight="1">
      <c r="A102" s="48">
        <v>1</v>
      </c>
      <c r="B102" s="40">
        <v>46065</v>
      </c>
      <c r="C102" s="41" t="s">
        <v>240</v>
      </c>
      <c r="D102" s="41" t="s">
        <v>7</v>
      </c>
      <c r="E102" s="49" t="s">
        <v>147</v>
      </c>
      <c r="F102" s="41" t="s">
        <v>148</v>
      </c>
      <c r="G102" s="41" t="s">
        <v>233</v>
      </c>
      <c r="H102" s="41" t="s">
        <v>481</v>
      </c>
      <c r="I102" s="53" t="s">
        <v>224</v>
      </c>
      <c r="J102" s="46" t="str">
        <f>VLOOKUP(I102,'DESCRICAO PRODUTO'!$A:$C,2,0)</f>
        <v>MICRO-ONDAS MO-02-34-B 220V/60HZ .</v>
      </c>
      <c r="K102" s="41" t="str">
        <f>VLOOKUP(I102,'DESCRICAO PRODUTO'!$A:$C,3,0)</f>
        <v>MO 34L</v>
      </c>
      <c r="L102" s="50">
        <v>148</v>
      </c>
      <c r="M102" s="50">
        <v>148</v>
      </c>
      <c r="N102" s="51">
        <f t="shared" si="1"/>
        <v>0</v>
      </c>
      <c r="O102" s="40">
        <v>46091</v>
      </c>
      <c r="P102" s="40">
        <v>46106</v>
      </c>
      <c r="Q102" s="34" t="s">
        <v>455</v>
      </c>
      <c r="R102" s="18"/>
      <c r="S102" s="18">
        <v>29831</v>
      </c>
      <c r="T102" s="18" t="s">
        <v>337</v>
      </c>
      <c r="U102" s="33">
        <v>46126</v>
      </c>
    </row>
    <row r="103" spans="1:21" ht="15" customHeight="1">
      <c r="A103" s="48">
        <v>1</v>
      </c>
      <c r="B103" s="40">
        <v>46065</v>
      </c>
      <c r="C103" s="41" t="s">
        <v>240</v>
      </c>
      <c r="D103" s="41" t="s">
        <v>7</v>
      </c>
      <c r="E103" s="49" t="s">
        <v>511</v>
      </c>
      <c r="F103" s="41" t="s">
        <v>201</v>
      </c>
      <c r="G103" s="41" t="s">
        <v>233</v>
      </c>
      <c r="H103" s="41" t="s">
        <v>482</v>
      </c>
      <c r="I103" s="53" t="s">
        <v>224</v>
      </c>
      <c r="J103" s="46" t="str">
        <f>VLOOKUP(I103,'DESCRICAO PRODUTO'!$A:$C,2,0)</f>
        <v>MICRO-ONDAS MO-02-34-B 220V/60HZ .</v>
      </c>
      <c r="K103" s="41" t="str">
        <f>VLOOKUP(I103,'DESCRICAO PRODUTO'!$A:$C,3,0)</f>
        <v>MO 34L</v>
      </c>
      <c r="L103" s="50">
        <v>148</v>
      </c>
      <c r="M103" s="50">
        <v>148</v>
      </c>
      <c r="N103" s="51">
        <f t="shared" si="1"/>
        <v>0</v>
      </c>
      <c r="O103" s="40">
        <v>46240</v>
      </c>
      <c r="P103" s="40">
        <v>46245</v>
      </c>
      <c r="Q103" s="34" t="s">
        <v>455</v>
      </c>
      <c r="R103" s="18" t="s">
        <v>513</v>
      </c>
      <c r="S103" s="18">
        <v>31170</v>
      </c>
      <c r="T103" s="18" t="s">
        <v>516</v>
      </c>
      <c r="U103" s="33">
        <v>46260</v>
      </c>
    </row>
    <row r="104" spans="1:21" ht="15" customHeight="1">
      <c r="A104" s="48">
        <v>1</v>
      </c>
      <c r="B104" s="40">
        <v>46065</v>
      </c>
      <c r="C104" s="41" t="s">
        <v>240</v>
      </c>
      <c r="D104" s="41" t="s">
        <v>7</v>
      </c>
      <c r="E104" s="49" t="s">
        <v>510</v>
      </c>
      <c r="F104" s="41" t="s">
        <v>198</v>
      </c>
      <c r="G104" s="41" t="s">
        <v>233</v>
      </c>
      <c r="H104" s="41" t="s">
        <v>482</v>
      </c>
      <c r="I104" s="41" t="s">
        <v>224</v>
      </c>
      <c r="J104" s="46" t="str">
        <f>VLOOKUP(I104,'DESCRICAO PRODUTO'!$A:$C,2,0)</f>
        <v>MICRO-ONDAS MO-02-34-B 220V/60HZ .</v>
      </c>
      <c r="K104" s="41" t="str">
        <f>VLOOKUP(I104,'DESCRICAO PRODUTO'!$A:$C,3,0)</f>
        <v>MO 34L</v>
      </c>
      <c r="L104" s="50">
        <v>148</v>
      </c>
      <c r="M104" s="50">
        <v>148</v>
      </c>
      <c r="N104" s="51">
        <f t="shared" si="1"/>
        <v>0</v>
      </c>
      <c r="O104" s="40">
        <v>46240</v>
      </c>
      <c r="P104" s="40">
        <v>46245</v>
      </c>
      <c r="Q104" s="34" t="s">
        <v>455</v>
      </c>
      <c r="R104" s="18" t="s">
        <v>513</v>
      </c>
      <c r="S104" s="18">
        <v>31170</v>
      </c>
      <c r="T104" s="18" t="s">
        <v>516</v>
      </c>
      <c r="U104" s="33">
        <v>46260</v>
      </c>
    </row>
    <row r="105" spans="1:21" ht="15" customHeight="1">
      <c r="A105" s="48">
        <v>1</v>
      </c>
      <c r="B105" s="40">
        <v>46065</v>
      </c>
      <c r="C105" s="41" t="s">
        <v>240</v>
      </c>
      <c r="D105" s="41" t="s">
        <v>7</v>
      </c>
      <c r="E105" s="49" t="s">
        <v>149</v>
      </c>
      <c r="F105" s="41" t="s">
        <v>150</v>
      </c>
      <c r="G105" s="41" t="s">
        <v>233</v>
      </c>
      <c r="H105" s="41" t="s">
        <v>481</v>
      </c>
      <c r="I105" s="41" t="s">
        <v>21</v>
      </c>
      <c r="J105" s="46" t="str">
        <f>VLOOKUP(I105,'DESCRICAO PRODUTO'!$A:$C,2,0)</f>
        <v>MICRO-ONDAS MO-02-34-E 127V/60HZ .</v>
      </c>
      <c r="K105" s="41" t="str">
        <f>VLOOKUP(I105,'DESCRICAO PRODUTO'!$A:$C,3,0)</f>
        <v>MO 34L</v>
      </c>
      <c r="L105" s="50">
        <v>142</v>
      </c>
      <c r="M105" s="50"/>
      <c r="N105" s="51">
        <f t="shared" si="1"/>
        <v>-142</v>
      </c>
      <c r="O105" s="40"/>
      <c r="P105" s="40"/>
      <c r="Q105" s="34" t="s">
        <v>4</v>
      </c>
      <c r="R105" s="18" t="s">
        <v>557</v>
      </c>
      <c r="S105" s="18"/>
      <c r="T105" s="18"/>
      <c r="U105" s="33"/>
    </row>
    <row r="106" spans="1:21" ht="15" customHeight="1">
      <c r="A106" s="48">
        <v>1</v>
      </c>
      <c r="B106" s="40">
        <v>46065</v>
      </c>
      <c r="C106" s="41" t="s">
        <v>240</v>
      </c>
      <c r="D106" s="41" t="s">
        <v>7</v>
      </c>
      <c r="E106" s="49" t="s">
        <v>511</v>
      </c>
      <c r="F106" s="41" t="s">
        <v>201</v>
      </c>
      <c r="G106" s="41" t="s">
        <v>233</v>
      </c>
      <c r="H106" s="41" t="s">
        <v>482</v>
      </c>
      <c r="I106" s="41" t="s">
        <v>21</v>
      </c>
      <c r="J106" s="46" t="str">
        <f>VLOOKUP(I106,'DESCRICAO PRODUTO'!$A:$C,2,0)</f>
        <v>MICRO-ONDAS MO-02-34-E 127V/60HZ .</v>
      </c>
      <c r="K106" s="41" t="str">
        <f>VLOOKUP(I106,'DESCRICAO PRODUTO'!$A:$C,3,0)</f>
        <v>MO 34L</v>
      </c>
      <c r="L106" s="50">
        <v>142</v>
      </c>
      <c r="M106" s="50">
        <v>142</v>
      </c>
      <c r="N106" s="51">
        <f t="shared" si="1"/>
        <v>0</v>
      </c>
      <c r="O106" s="40">
        <v>46240</v>
      </c>
      <c r="P106" s="40">
        <v>46245</v>
      </c>
      <c r="Q106" s="34" t="s">
        <v>455</v>
      </c>
      <c r="R106" s="18" t="s">
        <v>513</v>
      </c>
      <c r="S106" s="18">
        <v>31170</v>
      </c>
      <c r="T106" s="18" t="s">
        <v>516</v>
      </c>
      <c r="U106" s="33">
        <v>46260</v>
      </c>
    </row>
    <row r="107" spans="1:21" ht="15" customHeight="1">
      <c r="A107" s="48">
        <v>1</v>
      </c>
      <c r="B107" s="40">
        <v>46065</v>
      </c>
      <c r="C107" s="41" t="s">
        <v>240</v>
      </c>
      <c r="D107" s="41" t="s">
        <v>7</v>
      </c>
      <c r="E107" s="49" t="s">
        <v>510</v>
      </c>
      <c r="F107" s="41" t="s">
        <v>198</v>
      </c>
      <c r="G107" s="41" t="s">
        <v>233</v>
      </c>
      <c r="H107" s="41" t="s">
        <v>482</v>
      </c>
      <c r="I107" s="41" t="s">
        <v>21</v>
      </c>
      <c r="J107" s="46" t="str">
        <f>VLOOKUP(I107,'DESCRICAO PRODUTO'!$A:$C,2,0)</f>
        <v>MICRO-ONDAS MO-02-34-E 127V/60HZ .</v>
      </c>
      <c r="K107" s="41" t="str">
        <f>VLOOKUP(I107,'DESCRICAO PRODUTO'!$A:$C,3,0)</f>
        <v>MO 34L</v>
      </c>
      <c r="L107" s="50">
        <v>142</v>
      </c>
      <c r="M107" s="50">
        <v>142</v>
      </c>
      <c r="N107" s="51">
        <f t="shared" si="1"/>
        <v>0</v>
      </c>
      <c r="O107" s="40">
        <v>46240</v>
      </c>
      <c r="P107" s="40">
        <v>46245</v>
      </c>
      <c r="Q107" s="34" t="s">
        <v>455</v>
      </c>
      <c r="R107" s="18" t="s">
        <v>513</v>
      </c>
      <c r="S107" s="18">
        <v>31170</v>
      </c>
      <c r="T107" s="18" t="s">
        <v>516</v>
      </c>
      <c r="U107" s="33">
        <v>46260</v>
      </c>
    </row>
    <row r="108" spans="1:21" ht="15" customHeight="1">
      <c r="A108" s="48">
        <v>1</v>
      </c>
      <c r="B108" s="40">
        <v>46065</v>
      </c>
      <c r="C108" s="41" t="s">
        <v>240</v>
      </c>
      <c r="D108" s="41" t="s">
        <v>7</v>
      </c>
      <c r="E108" s="49" t="s">
        <v>151</v>
      </c>
      <c r="F108" s="41" t="s">
        <v>148</v>
      </c>
      <c r="G108" s="41" t="s">
        <v>233</v>
      </c>
      <c r="H108" s="41" t="s">
        <v>481</v>
      </c>
      <c r="I108" s="41" t="s">
        <v>80</v>
      </c>
      <c r="J108" s="46" t="str">
        <f>VLOOKUP(I108,'DESCRICAO PRODUTO'!$A:$C,2,0)</f>
        <v>MICRO-ONDAS MO-02-34-E 127V/60HZ .</v>
      </c>
      <c r="K108" s="41" t="str">
        <f>VLOOKUP(I108,'DESCRICAO PRODUTO'!$A:$C,3,0)</f>
        <v>MO 34L</v>
      </c>
      <c r="L108" s="50">
        <v>296</v>
      </c>
      <c r="M108" s="50">
        <v>296</v>
      </c>
      <c r="N108" s="51">
        <f t="shared" si="1"/>
        <v>0</v>
      </c>
      <c r="O108" s="40">
        <v>46091</v>
      </c>
      <c r="P108" s="40">
        <v>46106</v>
      </c>
      <c r="Q108" s="34" t="s">
        <v>455</v>
      </c>
      <c r="R108" s="18"/>
      <c r="S108" s="18">
        <v>29831</v>
      </c>
      <c r="T108" s="18" t="s">
        <v>337</v>
      </c>
      <c r="U108" s="33">
        <v>46126</v>
      </c>
    </row>
    <row r="109" spans="1:21" ht="15" customHeight="1">
      <c r="A109" s="48">
        <v>1</v>
      </c>
      <c r="B109" s="40">
        <v>46065</v>
      </c>
      <c r="C109" s="41" t="s">
        <v>240</v>
      </c>
      <c r="D109" s="41" t="s">
        <v>7</v>
      </c>
      <c r="E109" s="49" t="s">
        <v>511</v>
      </c>
      <c r="F109" s="41" t="s">
        <v>201</v>
      </c>
      <c r="G109" s="41" t="s">
        <v>233</v>
      </c>
      <c r="H109" s="41" t="s">
        <v>482</v>
      </c>
      <c r="I109" s="41" t="s">
        <v>80</v>
      </c>
      <c r="J109" s="46" t="str">
        <f>VLOOKUP(I109,'DESCRICAO PRODUTO'!$A:$C,2,0)</f>
        <v>MICRO-ONDAS MO-02-34-E 127V/60HZ .</v>
      </c>
      <c r="K109" s="41" t="str">
        <f>VLOOKUP(I109,'DESCRICAO PRODUTO'!$A:$C,3,0)</f>
        <v>MO 34L</v>
      </c>
      <c r="L109" s="50">
        <v>296</v>
      </c>
      <c r="M109" s="50">
        <v>296</v>
      </c>
      <c r="N109" s="51">
        <f t="shared" si="1"/>
        <v>0</v>
      </c>
      <c r="O109" s="40">
        <v>46240</v>
      </c>
      <c r="P109" s="40">
        <v>46245</v>
      </c>
      <c r="Q109" s="34" t="s">
        <v>455</v>
      </c>
      <c r="R109" s="18" t="s">
        <v>513</v>
      </c>
      <c r="S109" s="18">
        <v>31170</v>
      </c>
      <c r="T109" s="18" t="s">
        <v>516</v>
      </c>
      <c r="U109" s="33">
        <v>46260</v>
      </c>
    </row>
    <row r="110" spans="1:21" ht="15" customHeight="1">
      <c r="A110" s="48">
        <v>1</v>
      </c>
      <c r="B110" s="40">
        <v>46065</v>
      </c>
      <c r="C110" s="41" t="s">
        <v>240</v>
      </c>
      <c r="D110" s="41" t="s">
        <v>7</v>
      </c>
      <c r="E110" s="49" t="s">
        <v>510</v>
      </c>
      <c r="F110" s="41" t="s">
        <v>198</v>
      </c>
      <c r="G110" s="41" t="s">
        <v>233</v>
      </c>
      <c r="H110" s="41" t="s">
        <v>482</v>
      </c>
      <c r="I110" s="41" t="s">
        <v>80</v>
      </c>
      <c r="J110" s="46" t="str">
        <f>VLOOKUP(I110,'DESCRICAO PRODUTO'!$A:$C,2,0)</f>
        <v>MICRO-ONDAS MO-02-34-E 127V/60HZ .</v>
      </c>
      <c r="K110" s="41" t="str">
        <f>VLOOKUP(I110,'DESCRICAO PRODUTO'!$A:$C,3,0)</f>
        <v>MO 34L</v>
      </c>
      <c r="L110" s="50">
        <v>296</v>
      </c>
      <c r="M110" s="50">
        <v>296</v>
      </c>
      <c r="N110" s="51">
        <f t="shared" si="1"/>
        <v>0</v>
      </c>
      <c r="O110" s="40">
        <v>46240</v>
      </c>
      <c r="P110" s="40">
        <v>46245</v>
      </c>
      <c r="Q110" s="34" t="s">
        <v>455</v>
      </c>
      <c r="R110" s="18" t="s">
        <v>513</v>
      </c>
      <c r="S110" s="18">
        <v>31170</v>
      </c>
      <c r="T110" s="18" t="s">
        <v>516</v>
      </c>
      <c r="U110" s="33">
        <v>46260</v>
      </c>
    </row>
    <row r="111" spans="1:21" ht="15" customHeight="1">
      <c r="A111" s="48">
        <v>1</v>
      </c>
      <c r="B111" s="40">
        <v>46065</v>
      </c>
      <c r="C111" s="41" t="s">
        <v>240</v>
      </c>
      <c r="D111" s="41" t="s">
        <v>7</v>
      </c>
      <c r="E111" s="49" t="s">
        <v>149</v>
      </c>
      <c r="F111" s="41" t="s">
        <v>150</v>
      </c>
      <c r="G111" s="41" t="s">
        <v>233</v>
      </c>
      <c r="H111" s="41" t="s">
        <v>481</v>
      </c>
      <c r="I111" s="41" t="s">
        <v>79</v>
      </c>
      <c r="J111" s="46" t="str">
        <f>VLOOKUP(I111,'DESCRICAO PRODUTO'!$A:$C,2,0)</f>
        <v>MICRO-ONDAS MO-02-34-E 220V/60HZ .</v>
      </c>
      <c r="K111" s="41" t="str">
        <f>VLOOKUP(I111,'DESCRICAO PRODUTO'!$A:$C,3,0)</f>
        <v>MO 34L</v>
      </c>
      <c r="L111" s="50">
        <v>34</v>
      </c>
      <c r="M111" s="50"/>
      <c r="N111" s="51">
        <f t="shared" si="1"/>
        <v>-34</v>
      </c>
      <c r="O111" s="40"/>
      <c r="P111" s="40"/>
      <c r="Q111" s="34" t="s">
        <v>4</v>
      </c>
      <c r="R111" s="18" t="s">
        <v>557</v>
      </c>
      <c r="S111" s="18"/>
      <c r="T111" s="18"/>
      <c r="U111" s="33"/>
    </row>
    <row r="112" spans="1:21" ht="15" customHeight="1">
      <c r="A112" s="48">
        <v>1</v>
      </c>
      <c r="B112" s="40">
        <v>46065</v>
      </c>
      <c r="C112" s="41" t="s">
        <v>240</v>
      </c>
      <c r="D112" s="41" t="s">
        <v>7</v>
      </c>
      <c r="E112" s="49" t="s">
        <v>511</v>
      </c>
      <c r="F112" s="41" t="s">
        <v>201</v>
      </c>
      <c r="G112" s="41" t="s">
        <v>233</v>
      </c>
      <c r="H112" s="41" t="s">
        <v>482</v>
      </c>
      <c r="I112" s="41" t="s">
        <v>79</v>
      </c>
      <c r="J112" s="46" t="str">
        <f>VLOOKUP(I112,'DESCRICAO PRODUTO'!$A:$C,2,0)</f>
        <v>MICRO-ONDAS MO-02-34-E 220V/60HZ .</v>
      </c>
      <c r="K112" s="41" t="str">
        <f>VLOOKUP(I112,'DESCRICAO PRODUTO'!$A:$C,3,0)</f>
        <v>MO 34L</v>
      </c>
      <c r="L112" s="50">
        <v>34</v>
      </c>
      <c r="M112" s="50">
        <v>34</v>
      </c>
      <c r="N112" s="51">
        <f t="shared" si="1"/>
        <v>0</v>
      </c>
      <c r="O112" s="40">
        <v>46240</v>
      </c>
      <c r="P112" s="40">
        <v>46245</v>
      </c>
      <c r="Q112" s="34" t="s">
        <v>455</v>
      </c>
      <c r="R112" s="18" t="s">
        <v>513</v>
      </c>
      <c r="S112" s="18">
        <v>31170</v>
      </c>
      <c r="T112" s="18" t="s">
        <v>516</v>
      </c>
      <c r="U112" s="33">
        <v>46260</v>
      </c>
    </row>
    <row r="113" spans="1:21" ht="15" customHeight="1">
      <c r="A113" s="48">
        <v>1</v>
      </c>
      <c r="B113" s="40">
        <v>46065</v>
      </c>
      <c r="C113" s="41" t="s">
        <v>240</v>
      </c>
      <c r="D113" s="41" t="s">
        <v>7</v>
      </c>
      <c r="E113" s="49" t="s">
        <v>510</v>
      </c>
      <c r="F113" s="41" t="s">
        <v>198</v>
      </c>
      <c r="G113" s="41" t="s">
        <v>233</v>
      </c>
      <c r="H113" s="41" t="s">
        <v>482</v>
      </c>
      <c r="I113" s="41" t="s">
        <v>79</v>
      </c>
      <c r="J113" s="46" t="str">
        <f>VLOOKUP(I113,'DESCRICAO PRODUTO'!$A:$C,2,0)</f>
        <v>MICRO-ONDAS MO-02-34-E 220V/60HZ .</v>
      </c>
      <c r="K113" s="41" t="str">
        <f>VLOOKUP(I113,'DESCRICAO PRODUTO'!$A:$C,3,0)</f>
        <v>MO 34L</v>
      </c>
      <c r="L113" s="50">
        <v>34</v>
      </c>
      <c r="M113" s="50">
        <v>34</v>
      </c>
      <c r="N113" s="51">
        <f t="shared" si="1"/>
        <v>0</v>
      </c>
      <c r="O113" s="40">
        <v>46240</v>
      </c>
      <c r="P113" s="40">
        <v>46245</v>
      </c>
      <c r="Q113" s="34" t="s">
        <v>455</v>
      </c>
      <c r="R113" s="18" t="s">
        <v>513</v>
      </c>
      <c r="S113" s="18">
        <v>31170</v>
      </c>
      <c r="T113" s="18" t="s">
        <v>516</v>
      </c>
      <c r="U113" s="33">
        <v>46260</v>
      </c>
    </row>
    <row r="114" spans="1:21" ht="15" customHeight="1">
      <c r="A114" s="48">
        <v>1</v>
      </c>
      <c r="B114" s="40">
        <v>46065</v>
      </c>
      <c r="C114" s="41" t="s">
        <v>240</v>
      </c>
      <c r="D114" s="41" t="s">
        <v>7</v>
      </c>
      <c r="E114" s="49" t="s">
        <v>151</v>
      </c>
      <c r="F114" s="41" t="s">
        <v>148</v>
      </c>
      <c r="G114" s="41" t="s">
        <v>233</v>
      </c>
      <c r="H114" s="41" t="s">
        <v>481</v>
      </c>
      <c r="I114" s="41" t="s">
        <v>81</v>
      </c>
      <c r="J114" s="46" t="str">
        <f>VLOOKUP(I114,'DESCRICAO PRODUTO'!$A:$C,2,0)</f>
        <v>MICRO-ONDAS MO-02-34-E 220V/60HZ .</v>
      </c>
      <c r="K114" s="41" t="str">
        <f>VLOOKUP(I114,'DESCRICAO PRODUTO'!$A:$C,3,0)</f>
        <v>MO 34L</v>
      </c>
      <c r="L114" s="50">
        <v>544</v>
      </c>
      <c r="M114" s="50">
        <v>544</v>
      </c>
      <c r="N114" s="51">
        <f t="shared" si="1"/>
        <v>0</v>
      </c>
      <c r="O114" s="40">
        <v>46091</v>
      </c>
      <c r="P114" s="40">
        <v>46106</v>
      </c>
      <c r="Q114" s="34" t="s">
        <v>455</v>
      </c>
      <c r="R114" s="18"/>
      <c r="S114" s="18">
        <v>29831</v>
      </c>
      <c r="T114" s="18" t="s">
        <v>337</v>
      </c>
      <c r="U114" s="33">
        <v>46126</v>
      </c>
    </row>
    <row r="115" spans="1:21" ht="15" customHeight="1">
      <c r="A115" s="48">
        <v>1</v>
      </c>
      <c r="B115" s="40">
        <v>46065</v>
      </c>
      <c r="C115" s="41" t="s">
        <v>240</v>
      </c>
      <c r="D115" s="41" t="s">
        <v>7</v>
      </c>
      <c r="E115" s="49" t="s">
        <v>511</v>
      </c>
      <c r="F115" s="41" t="s">
        <v>201</v>
      </c>
      <c r="G115" s="41" t="s">
        <v>233</v>
      </c>
      <c r="H115" s="41" t="s">
        <v>482</v>
      </c>
      <c r="I115" s="41" t="s">
        <v>81</v>
      </c>
      <c r="J115" s="46" t="str">
        <f>VLOOKUP(I115,'DESCRICAO PRODUTO'!$A:$C,2,0)</f>
        <v>MICRO-ONDAS MO-02-34-E 220V/60HZ .</v>
      </c>
      <c r="K115" s="41" t="str">
        <f>VLOOKUP(I115,'DESCRICAO PRODUTO'!$A:$C,3,0)</f>
        <v>MO 34L</v>
      </c>
      <c r="L115" s="50">
        <v>544</v>
      </c>
      <c r="M115" s="50">
        <v>544</v>
      </c>
      <c r="N115" s="51">
        <f t="shared" si="1"/>
        <v>0</v>
      </c>
      <c r="O115" s="40">
        <v>46241</v>
      </c>
      <c r="P115" s="40">
        <v>46245</v>
      </c>
      <c r="Q115" s="34" t="s">
        <v>455</v>
      </c>
      <c r="R115" s="18" t="s">
        <v>512</v>
      </c>
      <c r="S115" s="18">
        <v>31171</v>
      </c>
      <c r="T115" s="18" t="s">
        <v>518</v>
      </c>
      <c r="U115" s="33">
        <v>46260</v>
      </c>
    </row>
    <row r="116" spans="1:21" ht="15" customHeight="1">
      <c r="A116" s="48">
        <v>1</v>
      </c>
      <c r="B116" s="40">
        <v>46065</v>
      </c>
      <c r="C116" s="41" t="s">
        <v>240</v>
      </c>
      <c r="D116" s="41" t="s">
        <v>7</v>
      </c>
      <c r="E116" s="49" t="s">
        <v>510</v>
      </c>
      <c r="F116" s="41" t="s">
        <v>198</v>
      </c>
      <c r="G116" s="41" t="s">
        <v>233</v>
      </c>
      <c r="H116" s="41" t="s">
        <v>482</v>
      </c>
      <c r="I116" s="41" t="s">
        <v>81</v>
      </c>
      <c r="J116" s="46" t="str">
        <f>VLOOKUP(I116,'DESCRICAO PRODUTO'!$A:$C,2,0)</f>
        <v>MICRO-ONDAS MO-02-34-E 220V/60HZ .</v>
      </c>
      <c r="K116" s="41" t="str">
        <f>VLOOKUP(I116,'DESCRICAO PRODUTO'!$A:$C,3,0)</f>
        <v>MO 34L</v>
      </c>
      <c r="L116" s="50">
        <v>544</v>
      </c>
      <c r="M116" s="50">
        <v>544</v>
      </c>
      <c r="N116" s="51">
        <f t="shared" si="1"/>
        <v>0</v>
      </c>
      <c r="O116" s="40">
        <v>46241</v>
      </c>
      <c r="P116" s="40">
        <v>46245</v>
      </c>
      <c r="Q116" s="34" t="s">
        <v>455</v>
      </c>
      <c r="R116" s="18" t="s">
        <v>512</v>
      </c>
      <c r="S116" s="18">
        <v>31171</v>
      </c>
      <c r="T116" s="18" t="s">
        <v>518</v>
      </c>
      <c r="U116" s="33">
        <v>46260</v>
      </c>
    </row>
    <row r="117" spans="1:21" ht="15" customHeight="1">
      <c r="A117" s="48">
        <v>1</v>
      </c>
      <c r="B117" s="40">
        <v>46065</v>
      </c>
      <c r="C117" s="41" t="s">
        <v>240</v>
      </c>
      <c r="D117" s="41" t="s">
        <v>7</v>
      </c>
      <c r="E117" s="49" t="s">
        <v>153</v>
      </c>
      <c r="F117" s="41" t="s">
        <v>154</v>
      </c>
      <c r="G117" s="41" t="s">
        <v>233</v>
      </c>
      <c r="H117" s="41" t="s">
        <v>481</v>
      </c>
      <c r="I117" s="41" t="s">
        <v>18</v>
      </c>
      <c r="J117" s="46" t="str">
        <f>VLOOKUP(I117,'DESCRICAO PRODUTO'!$A:$C,2,0)</f>
        <v>MICRO-ONDAS MO-02-34-W 127V/60HZ .</v>
      </c>
      <c r="K117" s="41" t="str">
        <f>VLOOKUP(I117,'DESCRICAO PRODUTO'!$A:$C,3,0)</f>
        <v>MO 34L</v>
      </c>
      <c r="L117" s="50">
        <v>44</v>
      </c>
      <c r="M117" s="50">
        <v>44</v>
      </c>
      <c r="N117" s="51">
        <f t="shared" si="1"/>
        <v>0</v>
      </c>
      <c r="O117" s="40">
        <v>46091</v>
      </c>
      <c r="P117" s="40">
        <v>46106</v>
      </c>
      <c r="Q117" s="34" t="s">
        <v>455</v>
      </c>
      <c r="R117" s="18"/>
      <c r="S117" s="18">
        <v>29831</v>
      </c>
      <c r="T117" s="18" t="s">
        <v>337</v>
      </c>
      <c r="U117" s="33">
        <v>46126</v>
      </c>
    </row>
    <row r="118" spans="1:21" ht="15" customHeight="1">
      <c r="A118" s="48">
        <v>1</v>
      </c>
      <c r="B118" s="40">
        <v>46065</v>
      </c>
      <c r="C118" s="41" t="s">
        <v>240</v>
      </c>
      <c r="D118" s="41" t="s">
        <v>7</v>
      </c>
      <c r="E118" s="49" t="s">
        <v>511</v>
      </c>
      <c r="F118" s="41" t="s">
        <v>201</v>
      </c>
      <c r="G118" s="41" t="s">
        <v>233</v>
      </c>
      <c r="H118" s="41" t="s">
        <v>482</v>
      </c>
      <c r="I118" s="41" t="s">
        <v>18</v>
      </c>
      <c r="J118" s="46" t="str">
        <f>VLOOKUP(I118,'DESCRICAO PRODUTO'!$A:$C,2,0)</f>
        <v>MICRO-ONDAS MO-02-34-W 127V/60HZ .</v>
      </c>
      <c r="K118" s="41" t="str">
        <f>VLOOKUP(I118,'DESCRICAO PRODUTO'!$A:$C,3,0)</f>
        <v>MO 34L</v>
      </c>
      <c r="L118" s="50">
        <v>14</v>
      </c>
      <c r="M118" s="50">
        <v>14</v>
      </c>
      <c r="N118" s="51">
        <f t="shared" si="1"/>
        <v>0</v>
      </c>
      <c r="O118" s="40">
        <v>46241</v>
      </c>
      <c r="P118" s="40">
        <v>46245</v>
      </c>
      <c r="Q118" s="34" t="s">
        <v>455</v>
      </c>
      <c r="R118" s="18" t="s">
        <v>512</v>
      </c>
      <c r="S118" s="18">
        <v>31171</v>
      </c>
      <c r="T118" s="18" t="s">
        <v>518</v>
      </c>
      <c r="U118" s="33">
        <v>46260</v>
      </c>
    </row>
    <row r="119" spans="1:21" ht="15" customHeight="1">
      <c r="A119" s="48">
        <v>1</v>
      </c>
      <c r="B119" s="40">
        <v>46065</v>
      </c>
      <c r="C119" s="41" t="s">
        <v>240</v>
      </c>
      <c r="D119" s="41" t="s">
        <v>7</v>
      </c>
      <c r="E119" s="49" t="s">
        <v>510</v>
      </c>
      <c r="F119" s="41" t="s">
        <v>198</v>
      </c>
      <c r="G119" s="41" t="s">
        <v>233</v>
      </c>
      <c r="H119" s="41" t="s">
        <v>482</v>
      </c>
      <c r="I119" s="41" t="s">
        <v>18</v>
      </c>
      <c r="J119" s="46" t="str">
        <f>VLOOKUP(I119,'DESCRICAO PRODUTO'!$A:$C,2,0)</f>
        <v>MICRO-ONDAS MO-02-34-W 127V/60HZ .</v>
      </c>
      <c r="K119" s="41" t="str">
        <f>VLOOKUP(I119,'DESCRICAO PRODUTO'!$A:$C,3,0)</f>
        <v>MO 34L</v>
      </c>
      <c r="L119" s="50">
        <v>14</v>
      </c>
      <c r="M119" s="50">
        <v>14</v>
      </c>
      <c r="N119" s="51">
        <f t="shared" si="1"/>
        <v>0</v>
      </c>
      <c r="O119" s="40">
        <v>46241</v>
      </c>
      <c r="P119" s="40">
        <v>46245</v>
      </c>
      <c r="Q119" s="34" t="s">
        <v>455</v>
      </c>
      <c r="R119" s="18" t="s">
        <v>512</v>
      </c>
      <c r="S119" s="18">
        <v>31171</v>
      </c>
      <c r="T119" s="18" t="s">
        <v>518</v>
      </c>
      <c r="U119" s="33">
        <v>46260</v>
      </c>
    </row>
    <row r="120" spans="1:21" ht="15" customHeight="1">
      <c r="A120" s="48">
        <v>1</v>
      </c>
      <c r="B120" s="40">
        <v>46065</v>
      </c>
      <c r="C120" s="41" t="s">
        <v>240</v>
      </c>
      <c r="D120" s="41" t="s">
        <v>7</v>
      </c>
      <c r="E120" s="49" t="s">
        <v>239</v>
      </c>
      <c r="F120" s="41" t="s">
        <v>154</v>
      </c>
      <c r="G120" s="41" t="s">
        <v>233</v>
      </c>
      <c r="H120" s="41" t="s">
        <v>481</v>
      </c>
      <c r="I120" s="41" t="s">
        <v>77</v>
      </c>
      <c r="J120" s="46" t="str">
        <f>VLOOKUP(I120,'DESCRICAO PRODUTO'!$A:$C,2,0)</f>
        <v>MICRO-ONDAS MO-02-34-W 127V/60HZ .</v>
      </c>
      <c r="K120" s="41" t="str">
        <f>VLOOKUP(I120,'DESCRICAO PRODUTO'!$A:$C,3,0)</f>
        <v>MO 34L</v>
      </c>
      <c r="L120" s="50">
        <v>269</v>
      </c>
      <c r="M120" s="50">
        <v>269</v>
      </c>
      <c r="N120" s="51">
        <f t="shared" si="1"/>
        <v>0</v>
      </c>
      <c r="O120" s="40">
        <v>46091</v>
      </c>
      <c r="P120" s="40">
        <v>46106</v>
      </c>
      <c r="Q120" s="34" t="s">
        <v>455</v>
      </c>
      <c r="R120" s="18"/>
      <c r="S120" s="18">
        <v>29831</v>
      </c>
      <c r="T120" s="18" t="s">
        <v>337</v>
      </c>
      <c r="U120" s="33">
        <v>46126</v>
      </c>
    </row>
    <row r="121" spans="1:21" ht="15" customHeight="1">
      <c r="A121" s="48">
        <v>1</v>
      </c>
      <c r="B121" s="40">
        <v>46065</v>
      </c>
      <c r="C121" s="41" t="s">
        <v>240</v>
      </c>
      <c r="D121" s="41" t="s">
        <v>7</v>
      </c>
      <c r="E121" s="49" t="s">
        <v>511</v>
      </c>
      <c r="F121" s="41" t="s">
        <v>201</v>
      </c>
      <c r="G121" s="41" t="s">
        <v>233</v>
      </c>
      <c r="H121" s="41" t="s">
        <v>482</v>
      </c>
      <c r="I121" s="41" t="s">
        <v>18</v>
      </c>
      <c r="J121" s="46" t="str">
        <f>VLOOKUP(I121,'DESCRICAO PRODUTO'!$A:$C,2,0)</f>
        <v>MICRO-ONDAS MO-02-34-W 127V/60HZ .</v>
      </c>
      <c r="K121" s="41" t="str">
        <f>VLOOKUP(I121,'DESCRICAO PRODUTO'!$A:$C,3,0)</f>
        <v>MO 34L</v>
      </c>
      <c r="L121" s="50">
        <v>30</v>
      </c>
      <c r="M121" s="50">
        <v>30</v>
      </c>
      <c r="N121" s="51">
        <f t="shared" si="1"/>
        <v>0</v>
      </c>
      <c r="O121" s="40">
        <v>46241</v>
      </c>
      <c r="P121" s="40">
        <v>46245</v>
      </c>
      <c r="Q121" s="34" t="s">
        <v>455</v>
      </c>
      <c r="R121" s="18" t="s">
        <v>514</v>
      </c>
      <c r="S121" s="18">
        <v>31172</v>
      </c>
      <c r="T121" s="18" t="s">
        <v>517</v>
      </c>
      <c r="U121" s="54">
        <v>46260</v>
      </c>
    </row>
    <row r="122" spans="1:21" ht="15" customHeight="1">
      <c r="A122" s="48">
        <v>1</v>
      </c>
      <c r="B122" s="40">
        <v>46065</v>
      </c>
      <c r="C122" s="41" t="s">
        <v>240</v>
      </c>
      <c r="D122" s="41" t="s">
        <v>7</v>
      </c>
      <c r="E122" s="49" t="s">
        <v>510</v>
      </c>
      <c r="F122" s="41" t="s">
        <v>198</v>
      </c>
      <c r="G122" s="41" t="s">
        <v>233</v>
      </c>
      <c r="H122" s="41" t="s">
        <v>482</v>
      </c>
      <c r="I122" s="41" t="s">
        <v>18</v>
      </c>
      <c r="J122" s="46" t="str">
        <f>VLOOKUP(I122,'DESCRICAO PRODUTO'!$A:$C,2,0)</f>
        <v>MICRO-ONDAS MO-02-34-W 127V/60HZ .</v>
      </c>
      <c r="K122" s="41" t="str">
        <f>VLOOKUP(I122,'DESCRICAO PRODUTO'!$A:$C,3,0)</f>
        <v>MO 34L</v>
      </c>
      <c r="L122" s="50">
        <v>30</v>
      </c>
      <c r="M122" s="50">
        <v>30</v>
      </c>
      <c r="N122" s="51">
        <f t="shared" si="1"/>
        <v>0</v>
      </c>
      <c r="O122" s="40">
        <v>46241</v>
      </c>
      <c r="P122" s="40">
        <v>46245</v>
      </c>
      <c r="Q122" s="34" t="s">
        <v>455</v>
      </c>
      <c r="R122" s="18" t="s">
        <v>514</v>
      </c>
      <c r="S122" s="18">
        <v>31172</v>
      </c>
      <c r="T122" s="18" t="s">
        <v>517</v>
      </c>
      <c r="U122" s="54">
        <v>46260</v>
      </c>
    </row>
    <row r="123" spans="1:21" ht="15" customHeight="1">
      <c r="A123" s="48">
        <v>1</v>
      </c>
      <c r="B123" s="40">
        <v>46065</v>
      </c>
      <c r="C123" s="41" t="s">
        <v>240</v>
      </c>
      <c r="D123" s="41" t="s">
        <v>7</v>
      </c>
      <c r="E123" s="49" t="s">
        <v>511</v>
      </c>
      <c r="F123" s="41" t="s">
        <v>201</v>
      </c>
      <c r="G123" s="41" t="s">
        <v>233</v>
      </c>
      <c r="H123" s="41" t="s">
        <v>482</v>
      </c>
      <c r="I123" s="41" t="s">
        <v>77</v>
      </c>
      <c r="J123" s="46" t="str">
        <f>VLOOKUP(I123,'DESCRICAO PRODUTO'!$A:$C,2,0)</f>
        <v>MICRO-ONDAS MO-02-34-W 127V/60HZ .</v>
      </c>
      <c r="K123" s="41" t="str">
        <f>VLOOKUP(I123,'DESCRICAO PRODUTO'!$A:$C,3,0)</f>
        <v>MO 34L</v>
      </c>
      <c r="L123" s="50">
        <v>269</v>
      </c>
      <c r="M123" s="50">
        <v>269</v>
      </c>
      <c r="N123" s="51">
        <f t="shared" si="1"/>
        <v>0</v>
      </c>
      <c r="O123" s="40">
        <v>46241</v>
      </c>
      <c r="P123" s="40">
        <v>46245</v>
      </c>
      <c r="Q123" s="34" t="s">
        <v>455</v>
      </c>
      <c r="R123" s="18" t="s">
        <v>514</v>
      </c>
      <c r="S123" s="18">
        <v>31172</v>
      </c>
      <c r="T123" s="18" t="s">
        <v>517</v>
      </c>
      <c r="U123" s="54">
        <v>46260</v>
      </c>
    </row>
    <row r="124" spans="1:21" ht="15" customHeight="1">
      <c r="A124" s="48">
        <v>1</v>
      </c>
      <c r="B124" s="40">
        <v>46065</v>
      </c>
      <c r="C124" s="41" t="s">
        <v>240</v>
      </c>
      <c r="D124" s="41" t="s">
        <v>7</v>
      </c>
      <c r="E124" s="49" t="s">
        <v>510</v>
      </c>
      <c r="F124" s="41" t="s">
        <v>198</v>
      </c>
      <c r="G124" s="41" t="s">
        <v>233</v>
      </c>
      <c r="H124" s="41" t="s">
        <v>482</v>
      </c>
      <c r="I124" s="41" t="s">
        <v>77</v>
      </c>
      <c r="J124" s="46" t="str">
        <f>VLOOKUP(I124,'DESCRICAO PRODUTO'!$A:$C,2,0)</f>
        <v>MICRO-ONDAS MO-02-34-W 127V/60HZ .</v>
      </c>
      <c r="K124" s="41" t="str">
        <f>VLOOKUP(I124,'DESCRICAO PRODUTO'!$A:$C,3,0)</f>
        <v>MO 34L</v>
      </c>
      <c r="L124" s="50">
        <v>269</v>
      </c>
      <c r="M124" s="50">
        <v>269</v>
      </c>
      <c r="N124" s="51">
        <f t="shared" si="1"/>
        <v>0</v>
      </c>
      <c r="O124" s="40">
        <v>46241</v>
      </c>
      <c r="P124" s="40">
        <v>46245</v>
      </c>
      <c r="Q124" s="34" t="s">
        <v>455</v>
      </c>
      <c r="R124" s="18" t="s">
        <v>514</v>
      </c>
      <c r="S124" s="18">
        <v>31172</v>
      </c>
      <c r="T124" s="18" t="s">
        <v>517</v>
      </c>
      <c r="U124" s="54">
        <v>46260</v>
      </c>
    </row>
    <row r="125" spans="1:21" ht="15" customHeight="1">
      <c r="A125" s="48">
        <v>1</v>
      </c>
      <c r="B125" s="40">
        <v>46065</v>
      </c>
      <c r="C125" s="41" t="s">
        <v>240</v>
      </c>
      <c r="D125" s="41" t="s">
        <v>7</v>
      </c>
      <c r="E125" s="49" t="s">
        <v>153</v>
      </c>
      <c r="F125" s="41" t="s">
        <v>154</v>
      </c>
      <c r="G125" s="41" t="s">
        <v>233</v>
      </c>
      <c r="H125" s="41" t="s">
        <v>481</v>
      </c>
      <c r="I125" s="41" t="s">
        <v>76</v>
      </c>
      <c r="J125" s="46" t="str">
        <f>VLOOKUP(I125,'DESCRICAO PRODUTO'!$A:$C,2,0)</f>
        <v>MICRO-ONDAS MO-02-34-W 220V/60HZ .</v>
      </c>
      <c r="K125" s="41" t="str">
        <f>VLOOKUP(I125,'DESCRICAO PRODUTO'!$A:$C,3,0)</f>
        <v>MO 34L</v>
      </c>
      <c r="L125" s="50">
        <v>49</v>
      </c>
      <c r="M125" s="50">
        <v>49</v>
      </c>
      <c r="N125" s="51">
        <f t="shared" si="1"/>
        <v>0</v>
      </c>
      <c r="O125" s="40">
        <v>46091</v>
      </c>
      <c r="P125" s="40">
        <v>46106</v>
      </c>
      <c r="Q125" s="34" t="s">
        <v>455</v>
      </c>
      <c r="R125" s="18"/>
      <c r="S125" s="18">
        <v>29831</v>
      </c>
      <c r="T125" s="18" t="s">
        <v>337</v>
      </c>
      <c r="U125" s="33">
        <v>46126</v>
      </c>
    </row>
    <row r="126" spans="1:21" ht="15" customHeight="1">
      <c r="A126" s="48">
        <v>1</v>
      </c>
      <c r="B126" s="40">
        <v>46065</v>
      </c>
      <c r="C126" s="41" t="s">
        <v>240</v>
      </c>
      <c r="D126" s="41" t="s">
        <v>7</v>
      </c>
      <c r="E126" s="49" t="s">
        <v>511</v>
      </c>
      <c r="F126" s="41" t="s">
        <v>201</v>
      </c>
      <c r="G126" s="41" t="s">
        <v>233</v>
      </c>
      <c r="H126" s="41" t="s">
        <v>482</v>
      </c>
      <c r="I126" s="41" t="s">
        <v>76</v>
      </c>
      <c r="J126" s="46" t="str">
        <f>VLOOKUP(I126,'DESCRICAO PRODUTO'!$A:$C,2,0)</f>
        <v>MICRO-ONDAS MO-02-34-W 220V/60HZ .</v>
      </c>
      <c r="K126" s="41" t="str">
        <f>VLOOKUP(I126,'DESCRICAO PRODUTO'!$A:$C,3,0)</f>
        <v>MO 34L</v>
      </c>
      <c r="L126" s="50">
        <v>44</v>
      </c>
      <c r="M126" s="50">
        <v>44</v>
      </c>
      <c r="N126" s="51">
        <f t="shared" si="1"/>
        <v>0</v>
      </c>
      <c r="O126" s="40">
        <v>46241</v>
      </c>
      <c r="P126" s="40">
        <v>46245</v>
      </c>
      <c r="Q126" s="34" t="s">
        <v>455</v>
      </c>
      <c r="R126" s="18" t="s">
        <v>514</v>
      </c>
      <c r="S126" s="18">
        <v>31172</v>
      </c>
      <c r="T126" s="18" t="s">
        <v>517</v>
      </c>
      <c r="U126" s="54">
        <v>46260</v>
      </c>
    </row>
    <row r="127" spans="1:21" ht="15" customHeight="1">
      <c r="A127" s="48">
        <v>1</v>
      </c>
      <c r="B127" s="40">
        <v>46065</v>
      </c>
      <c r="C127" s="41" t="s">
        <v>240</v>
      </c>
      <c r="D127" s="41" t="s">
        <v>7</v>
      </c>
      <c r="E127" s="49" t="s">
        <v>510</v>
      </c>
      <c r="F127" s="41" t="s">
        <v>198</v>
      </c>
      <c r="G127" s="41" t="s">
        <v>233</v>
      </c>
      <c r="H127" s="41" t="s">
        <v>482</v>
      </c>
      <c r="I127" s="41" t="s">
        <v>76</v>
      </c>
      <c r="J127" s="46" t="str">
        <f>VLOOKUP(I127,'DESCRICAO PRODUTO'!$A:$C,2,0)</f>
        <v>MICRO-ONDAS MO-02-34-W 220V/60HZ .</v>
      </c>
      <c r="K127" s="41" t="str">
        <f>VLOOKUP(I127,'DESCRICAO PRODUTO'!$A:$C,3,0)</f>
        <v>MO 34L</v>
      </c>
      <c r="L127" s="50">
        <v>44</v>
      </c>
      <c r="M127" s="50">
        <v>44</v>
      </c>
      <c r="N127" s="51">
        <f t="shared" si="1"/>
        <v>0</v>
      </c>
      <c r="O127" s="40">
        <v>46241</v>
      </c>
      <c r="P127" s="40">
        <v>46245</v>
      </c>
      <c r="Q127" s="34" t="s">
        <v>455</v>
      </c>
      <c r="R127" s="18" t="s">
        <v>514</v>
      </c>
      <c r="S127" s="18">
        <v>31172</v>
      </c>
      <c r="T127" s="18" t="s">
        <v>517</v>
      </c>
      <c r="U127" s="54">
        <v>46260</v>
      </c>
    </row>
    <row r="128" spans="1:21" ht="15" customHeight="1">
      <c r="A128" s="48">
        <v>1</v>
      </c>
      <c r="B128" s="40">
        <v>46065</v>
      </c>
      <c r="C128" s="41" t="s">
        <v>240</v>
      </c>
      <c r="D128" s="41" t="s">
        <v>7</v>
      </c>
      <c r="E128" s="49" t="s">
        <v>239</v>
      </c>
      <c r="F128" s="41" t="s">
        <v>154</v>
      </c>
      <c r="G128" s="41" t="s">
        <v>233</v>
      </c>
      <c r="H128" s="41" t="s">
        <v>481</v>
      </c>
      <c r="I128" s="41" t="s">
        <v>78</v>
      </c>
      <c r="J128" s="46" t="str">
        <f>VLOOKUP(I128,'DESCRICAO PRODUTO'!$A:$C,2,0)</f>
        <v>MICRO-ONDAS MO-02-34-W 220V/60HZ .</v>
      </c>
      <c r="K128" s="41" t="str">
        <f>VLOOKUP(I128,'DESCRICAO PRODUTO'!$A:$C,3,0)</f>
        <v>MO 34L</v>
      </c>
      <c r="L128" s="50">
        <v>234</v>
      </c>
      <c r="M128" s="50">
        <v>234</v>
      </c>
      <c r="N128" s="51">
        <f t="shared" si="1"/>
        <v>0</v>
      </c>
      <c r="O128" s="40">
        <v>46091</v>
      </c>
      <c r="P128" s="40">
        <v>46106</v>
      </c>
      <c r="Q128" s="34" t="s">
        <v>455</v>
      </c>
      <c r="R128" s="18"/>
      <c r="S128" s="18">
        <v>29831</v>
      </c>
      <c r="T128" s="18" t="s">
        <v>337</v>
      </c>
      <c r="U128" s="33">
        <v>46126</v>
      </c>
    </row>
    <row r="129" spans="1:21" ht="15" customHeight="1">
      <c r="A129" s="48">
        <v>1</v>
      </c>
      <c r="B129" s="40">
        <v>46065</v>
      </c>
      <c r="C129" s="41" t="s">
        <v>240</v>
      </c>
      <c r="D129" s="41" t="s">
        <v>7</v>
      </c>
      <c r="E129" s="49" t="s">
        <v>511</v>
      </c>
      <c r="F129" s="41" t="s">
        <v>201</v>
      </c>
      <c r="G129" s="41" t="s">
        <v>233</v>
      </c>
      <c r="H129" s="41" t="s">
        <v>482</v>
      </c>
      <c r="I129" s="41" t="s">
        <v>78</v>
      </c>
      <c r="J129" s="46" t="str">
        <f>VLOOKUP(I129,'DESCRICAO PRODUTO'!$A:$C,2,0)</f>
        <v>MICRO-ONDAS MO-02-34-W 220V/60HZ .</v>
      </c>
      <c r="K129" s="41" t="str">
        <f>VLOOKUP(I129,'DESCRICAO PRODUTO'!$A:$C,3,0)</f>
        <v>MO 34L</v>
      </c>
      <c r="L129" s="50">
        <v>234</v>
      </c>
      <c r="M129" s="50">
        <v>234</v>
      </c>
      <c r="N129" s="51">
        <f t="shared" si="1"/>
        <v>0</v>
      </c>
      <c r="O129" s="40">
        <v>46241</v>
      </c>
      <c r="P129" s="40">
        <v>46245</v>
      </c>
      <c r="Q129" s="34" t="s">
        <v>455</v>
      </c>
      <c r="R129" s="18" t="s">
        <v>514</v>
      </c>
      <c r="S129" s="18">
        <v>31172</v>
      </c>
      <c r="T129" s="18" t="s">
        <v>517</v>
      </c>
      <c r="U129" s="54">
        <v>46260</v>
      </c>
    </row>
    <row r="130" spans="1:21" ht="15" customHeight="1">
      <c r="A130" s="48">
        <v>1</v>
      </c>
      <c r="B130" s="40">
        <v>46065</v>
      </c>
      <c r="C130" s="41" t="s">
        <v>240</v>
      </c>
      <c r="D130" s="41" t="s">
        <v>7</v>
      </c>
      <c r="E130" s="49" t="s">
        <v>510</v>
      </c>
      <c r="F130" s="41" t="s">
        <v>198</v>
      </c>
      <c r="G130" s="41" t="s">
        <v>233</v>
      </c>
      <c r="H130" s="41" t="s">
        <v>482</v>
      </c>
      <c r="I130" s="41" t="s">
        <v>78</v>
      </c>
      <c r="J130" s="46" t="str">
        <f>VLOOKUP(I130,'DESCRICAO PRODUTO'!$A:$C,2,0)</f>
        <v>MICRO-ONDAS MO-02-34-W 220V/60HZ .</v>
      </c>
      <c r="K130" s="41" t="str">
        <f>VLOOKUP(I130,'DESCRICAO PRODUTO'!$A:$C,3,0)</f>
        <v>MO 34L</v>
      </c>
      <c r="L130" s="50">
        <v>234</v>
      </c>
      <c r="M130" s="50">
        <v>234</v>
      </c>
      <c r="N130" s="51">
        <f t="shared" ref="N130:N193" si="2">M130-L130</f>
        <v>0</v>
      </c>
      <c r="O130" s="40">
        <v>46241</v>
      </c>
      <c r="P130" s="40">
        <v>46245</v>
      </c>
      <c r="Q130" s="34" t="s">
        <v>455</v>
      </c>
      <c r="R130" s="18" t="s">
        <v>514</v>
      </c>
      <c r="S130" s="18">
        <v>31172</v>
      </c>
      <c r="T130" s="18" t="s">
        <v>517</v>
      </c>
      <c r="U130" s="54">
        <v>46260</v>
      </c>
    </row>
    <row r="131" spans="1:21" ht="15" customHeight="1">
      <c r="A131" s="48">
        <v>1</v>
      </c>
      <c r="B131" s="40">
        <v>46065</v>
      </c>
      <c r="C131" s="41" t="s">
        <v>240</v>
      </c>
      <c r="D131" s="41" t="s">
        <v>7</v>
      </c>
      <c r="E131" s="49" t="s">
        <v>313</v>
      </c>
      <c r="F131" s="41" t="s">
        <v>326</v>
      </c>
      <c r="G131" s="41" t="s">
        <v>241</v>
      </c>
      <c r="H131" s="41" t="s">
        <v>479</v>
      </c>
      <c r="I131" s="41" t="s">
        <v>256</v>
      </c>
      <c r="J131" s="46" t="str">
        <f>VLOOKUP(I131,'DESCRICAO PRODUTO'!$A:$C,2,0)</f>
        <v>TABLET NTB-12G BIVOLT .</v>
      </c>
      <c r="K131" s="41" t="str">
        <f>VLOOKUP(I131,'DESCRICAO PRODUTO'!$A:$C,3,0)</f>
        <v>TABLET</v>
      </c>
      <c r="L131" s="50">
        <v>1</v>
      </c>
      <c r="M131" s="50"/>
      <c r="N131" s="51">
        <f t="shared" si="2"/>
        <v>-1</v>
      </c>
      <c r="O131" s="40" t="s">
        <v>472</v>
      </c>
      <c r="P131" s="40" t="s">
        <v>472</v>
      </c>
      <c r="Q131" s="34" t="s">
        <v>506</v>
      </c>
      <c r="R131" s="18"/>
      <c r="S131" s="18"/>
      <c r="T131" s="18"/>
      <c r="U131" s="33"/>
    </row>
    <row r="132" spans="1:21" ht="15" customHeight="1">
      <c r="A132" s="48">
        <v>1</v>
      </c>
      <c r="B132" s="40">
        <v>46065</v>
      </c>
      <c r="C132" s="41" t="s">
        <v>240</v>
      </c>
      <c r="D132" s="41" t="s">
        <v>7</v>
      </c>
      <c r="E132" s="49" t="s">
        <v>314</v>
      </c>
      <c r="F132" s="41" t="s">
        <v>327</v>
      </c>
      <c r="G132" s="41" t="s">
        <v>241</v>
      </c>
      <c r="H132" s="41" t="s">
        <v>479</v>
      </c>
      <c r="I132" s="41" t="s">
        <v>259</v>
      </c>
      <c r="J132" s="46" t="str">
        <f>VLOOKUP(I132,'DESCRICAO PRODUTO'!$A:$C,2,0)</f>
        <v>TABLET TB-14 BIVOLT</v>
      </c>
      <c r="K132" s="41" t="str">
        <f>VLOOKUP(I132,'DESCRICAO PRODUTO'!$A:$C,3,0)</f>
        <v>TABLET</v>
      </c>
      <c r="L132" s="50">
        <v>2</v>
      </c>
      <c r="M132" s="50"/>
      <c r="N132" s="51">
        <f t="shared" si="2"/>
        <v>-2</v>
      </c>
      <c r="O132" s="40" t="s">
        <v>472</v>
      </c>
      <c r="P132" s="40" t="s">
        <v>472</v>
      </c>
      <c r="Q132" s="34" t="s">
        <v>506</v>
      </c>
      <c r="R132" s="18"/>
      <c r="S132" s="18"/>
      <c r="T132" s="18"/>
      <c r="U132" s="33"/>
    </row>
    <row r="133" spans="1:21" ht="15" customHeight="1">
      <c r="A133" s="48">
        <v>1</v>
      </c>
      <c r="B133" s="40">
        <v>46065</v>
      </c>
      <c r="C133" s="41" t="s">
        <v>240</v>
      </c>
      <c r="D133" s="41" t="s">
        <v>7</v>
      </c>
      <c r="E133" s="49" t="s">
        <v>315</v>
      </c>
      <c r="F133" s="41" t="s">
        <v>328</v>
      </c>
      <c r="G133" s="41" t="s">
        <v>241</v>
      </c>
      <c r="H133" s="41" t="s">
        <v>479</v>
      </c>
      <c r="I133" s="41" t="s">
        <v>261</v>
      </c>
      <c r="J133" s="46" t="str">
        <f>VLOOKUP(I133,'DESCRICAO PRODUTO'!$A:$C,2,0)</f>
        <v>TABLET TB-18 BIVOLT KIDS</v>
      </c>
      <c r="K133" s="41" t="str">
        <f>VLOOKUP(I133,'DESCRICAO PRODUTO'!$A:$C,3,0)</f>
        <v>TABLET</v>
      </c>
      <c r="L133" s="50">
        <v>3</v>
      </c>
      <c r="M133" s="50"/>
      <c r="N133" s="51">
        <f t="shared" si="2"/>
        <v>-3</v>
      </c>
      <c r="O133" s="40" t="s">
        <v>472</v>
      </c>
      <c r="P133" s="40" t="s">
        <v>472</v>
      </c>
      <c r="Q133" s="34" t="s">
        <v>506</v>
      </c>
      <c r="R133" s="18"/>
      <c r="S133" s="18"/>
      <c r="T133" s="18"/>
      <c r="U133" s="33"/>
    </row>
    <row r="134" spans="1:21" ht="15" customHeight="1">
      <c r="A134" s="48">
        <v>1</v>
      </c>
      <c r="B134" s="40">
        <v>46065</v>
      </c>
      <c r="C134" s="41" t="s">
        <v>240</v>
      </c>
      <c r="D134" s="41" t="s">
        <v>7</v>
      </c>
      <c r="E134" s="49" t="s">
        <v>14</v>
      </c>
      <c r="F134" s="41" t="s">
        <v>450</v>
      </c>
      <c r="G134" s="41" t="s">
        <v>233</v>
      </c>
      <c r="H134" s="41" t="s">
        <v>481</v>
      </c>
      <c r="I134" s="41" t="s">
        <v>60</v>
      </c>
      <c r="J134" s="46" t="str">
        <f>VLOOKUP(I134,'DESCRICAO PRODUTO'!$A:$C,2,0)</f>
        <v>TORRE DE SOM AWS-T1W-01 BIVOLT BLUETOOTH</v>
      </c>
      <c r="K134" s="41" t="str">
        <f>VLOOKUP(I134,'DESCRICAO PRODUTO'!$A:$C,3,0)</f>
        <v>T1W</v>
      </c>
      <c r="L134" s="50">
        <v>80</v>
      </c>
      <c r="M134" s="50">
        <v>80</v>
      </c>
      <c r="N134" s="51">
        <f t="shared" si="2"/>
        <v>0</v>
      </c>
      <c r="O134" s="40">
        <v>46100</v>
      </c>
      <c r="P134" s="40">
        <v>46122</v>
      </c>
      <c r="Q134" s="34" t="s">
        <v>455</v>
      </c>
      <c r="R134" s="18"/>
      <c r="S134" s="18">
        <v>29916</v>
      </c>
      <c r="T134" s="18" t="s">
        <v>452</v>
      </c>
      <c r="U134" s="33">
        <v>46146</v>
      </c>
    </row>
    <row r="135" spans="1:21" ht="15" customHeight="1">
      <c r="A135" s="48">
        <v>1</v>
      </c>
      <c r="B135" s="40">
        <v>46065</v>
      </c>
      <c r="C135" s="41" t="s">
        <v>240</v>
      </c>
      <c r="D135" s="41" t="s">
        <v>7</v>
      </c>
      <c r="E135" s="49" t="s">
        <v>11</v>
      </c>
      <c r="F135" s="41" t="s">
        <v>12</v>
      </c>
      <c r="G135" s="41" t="s">
        <v>241</v>
      </c>
      <c r="H135" s="41" t="s">
        <v>479</v>
      </c>
      <c r="I135" s="41" t="s">
        <v>60</v>
      </c>
      <c r="J135" s="46" t="str">
        <f>VLOOKUP(I135,'DESCRICAO PRODUTO'!$A:$C,2,0)</f>
        <v>TORRE DE SOM AWS-T1W-01 BIVOLT BLUETOOTH</v>
      </c>
      <c r="K135" s="41" t="str">
        <f>VLOOKUP(I135,'DESCRICAO PRODUTO'!$A:$C,3,0)</f>
        <v>T1W</v>
      </c>
      <c r="L135" s="50">
        <v>40</v>
      </c>
      <c r="M135" s="50">
        <v>40</v>
      </c>
      <c r="N135" s="51">
        <f t="shared" si="2"/>
        <v>0</v>
      </c>
      <c r="O135" s="40">
        <v>46100</v>
      </c>
      <c r="P135" s="40">
        <v>46122</v>
      </c>
      <c r="Q135" s="34" t="s">
        <v>455</v>
      </c>
      <c r="R135" s="18"/>
      <c r="S135" s="18">
        <v>29916</v>
      </c>
      <c r="T135" s="18" t="s">
        <v>452</v>
      </c>
      <c r="U135" s="33">
        <v>46146</v>
      </c>
    </row>
    <row r="136" spans="1:21" ht="15" customHeight="1">
      <c r="A136" s="48">
        <v>1</v>
      </c>
      <c r="B136" s="40">
        <v>46065</v>
      </c>
      <c r="C136" s="41" t="s">
        <v>240</v>
      </c>
      <c r="D136" s="41" t="s">
        <v>7</v>
      </c>
      <c r="E136" s="49" t="s">
        <v>14</v>
      </c>
      <c r="F136" s="41" t="s">
        <v>450</v>
      </c>
      <c r="G136" s="41" t="s">
        <v>233</v>
      </c>
      <c r="H136" s="41" t="s">
        <v>481</v>
      </c>
      <c r="I136" s="41" t="s">
        <v>13</v>
      </c>
      <c r="J136" s="46" t="str">
        <f>VLOOKUP(I136,'DESCRICAO PRODUTO'!$A:$C,2,0)</f>
        <v>TORRE DE SOM AWS-T1W-02 BIVOLT BLUETOOTH</v>
      </c>
      <c r="K136" s="41" t="str">
        <f>VLOOKUP(I136,'DESCRICAO PRODUTO'!$A:$C,3,0)</f>
        <v>T1W</v>
      </c>
      <c r="L136" s="50">
        <v>144</v>
      </c>
      <c r="M136" s="50">
        <v>144</v>
      </c>
      <c r="N136" s="51">
        <f t="shared" si="2"/>
        <v>0</v>
      </c>
      <c r="O136" s="40">
        <v>46100</v>
      </c>
      <c r="P136" s="40">
        <v>46122</v>
      </c>
      <c r="Q136" s="34" t="s">
        <v>455</v>
      </c>
      <c r="R136" s="18"/>
      <c r="S136" s="18">
        <v>29915</v>
      </c>
      <c r="T136" s="18" t="s">
        <v>452</v>
      </c>
      <c r="U136" s="33">
        <v>46146</v>
      </c>
    </row>
    <row r="137" spans="1:21" ht="15" customHeight="1">
      <c r="A137" s="48">
        <v>1</v>
      </c>
      <c r="B137" s="40">
        <v>46065</v>
      </c>
      <c r="C137" s="41" t="s">
        <v>240</v>
      </c>
      <c r="D137" s="41" t="s">
        <v>7</v>
      </c>
      <c r="E137" s="49" t="s">
        <v>11</v>
      </c>
      <c r="F137" s="41" t="s">
        <v>12</v>
      </c>
      <c r="G137" s="41" t="s">
        <v>241</v>
      </c>
      <c r="H137" s="41" t="s">
        <v>479</v>
      </c>
      <c r="I137" s="41" t="s">
        <v>13</v>
      </c>
      <c r="J137" s="46" t="str">
        <f>VLOOKUP(I137,'DESCRICAO PRODUTO'!$A:$C,2,0)</f>
        <v>TORRE DE SOM AWS-T1W-02 BIVOLT BLUETOOTH</v>
      </c>
      <c r="K137" s="41" t="str">
        <f>VLOOKUP(I137,'DESCRICAO PRODUTO'!$A:$C,3,0)</f>
        <v>T1W</v>
      </c>
      <c r="L137" s="50">
        <v>72</v>
      </c>
      <c r="M137" s="50">
        <v>72</v>
      </c>
      <c r="N137" s="51">
        <f t="shared" si="2"/>
        <v>0</v>
      </c>
      <c r="O137" s="40">
        <v>46100</v>
      </c>
      <c r="P137" s="40">
        <v>46122</v>
      </c>
      <c r="Q137" s="34" t="s">
        <v>455</v>
      </c>
      <c r="R137" s="18"/>
      <c r="S137" s="18">
        <v>29915</v>
      </c>
      <c r="T137" s="18" t="s">
        <v>452</v>
      </c>
      <c r="U137" s="33">
        <v>46146</v>
      </c>
    </row>
    <row r="138" spans="1:21" ht="15" customHeight="1">
      <c r="A138" s="48">
        <v>1</v>
      </c>
      <c r="B138" s="40">
        <v>46065</v>
      </c>
      <c r="C138" s="41" t="s">
        <v>240</v>
      </c>
      <c r="D138" s="41" t="s">
        <v>7</v>
      </c>
      <c r="E138" s="49" t="s">
        <v>15</v>
      </c>
      <c r="F138" s="41" t="s">
        <v>16</v>
      </c>
      <c r="G138" s="41" t="s">
        <v>233</v>
      </c>
      <c r="H138" s="41" t="s">
        <v>481</v>
      </c>
      <c r="I138" s="41" t="s">
        <v>57</v>
      </c>
      <c r="J138" s="46" t="str">
        <f>VLOOKUP(I138,'DESCRICAO PRODUTO'!$A:$C,2,0)</f>
        <v>TORRE DE SOM AWS-T2W-01 BIVOLT BLUETOOTH</v>
      </c>
      <c r="K138" s="41" t="str">
        <f>VLOOKUP(I138,'DESCRICAO PRODUTO'!$A:$C,3,0)</f>
        <v>T2W</v>
      </c>
      <c r="L138" s="50">
        <v>106</v>
      </c>
      <c r="M138" s="50">
        <v>106</v>
      </c>
      <c r="N138" s="51">
        <f t="shared" si="2"/>
        <v>0</v>
      </c>
      <c r="O138" s="40">
        <v>46127</v>
      </c>
      <c r="P138" s="40">
        <v>46125</v>
      </c>
      <c r="Q138" s="34" t="s">
        <v>455</v>
      </c>
      <c r="R138" s="18"/>
      <c r="S138" s="18">
        <v>30006</v>
      </c>
      <c r="T138" s="18" t="s">
        <v>453</v>
      </c>
      <c r="U138" s="33">
        <v>46148</v>
      </c>
    </row>
    <row r="139" spans="1:21" ht="15" customHeight="1">
      <c r="A139" s="48">
        <v>1</v>
      </c>
      <c r="B139" s="40">
        <v>46065</v>
      </c>
      <c r="C139" s="41" t="s">
        <v>240</v>
      </c>
      <c r="D139" s="41" t="s">
        <v>7</v>
      </c>
      <c r="E139" s="49" t="s">
        <v>15</v>
      </c>
      <c r="F139" s="41" t="s">
        <v>16</v>
      </c>
      <c r="G139" s="41" t="s">
        <v>233</v>
      </c>
      <c r="H139" s="41" t="s">
        <v>481</v>
      </c>
      <c r="I139" s="41" t="s">
        <v>10</v>
      </c>
      <c r="J139" s="46" t="str">
        <f>VLOOKUP(I139,'DESCRICAO PRODUTO'!$A:$C,2,0)</f>
        <v>TORRE DE SOM AWS-T2W-02 BIVOLT BLUETOOTH</v>
      </c>
      <c r="K139" s="41" t="str">
        <f>VLOOKUP(I139,'DESCRICAO PRODUTO'!$A:$C,3,0)</f>
        <v>T2W</v>
      </c>
      <c r="L139" s="50">
        <v>1948</v>
      </c>
      <c r="M139" s="50">
        <v>1948</v>
      </c>
      <c r="N139" s="51">
        <f t="shared" si="2"/>
        <v>0</v>
      </c>
      <c r="O139" s="40">
        <v>46127</v>
      </c>
      <c r="P139" s="40">
        <v>46125</v>
      </c>
      <c r="Q139" s="34" t="s">
        <v>455</v>
      </c>
      <c r="R139" s="18"/>
      <c r="S139" s="18">
        <v>30006</v>
      </c>
      <c r="T139" s="18" t="s">
        <v>453</v>
      </c>
      <c r="U139" s="33">
        <v>46148</v>
      </c>
    </row>
    <row r="140" spans="1:21" ht="15" customHeight="1">
      <c r="A140" s="48">
        <v>1</v>
      </c>
      <c r="B140" s="40">
        <v>46065</v>
      </c>
      <c r="C140" s="41" t="s">
        <v>240</v>
      </c>
      <c r="D140" s="41" t="s">
        <v>7</v>
      </c>
      <c r="E140" s="49" t="s">
        <v>119</v>
      </c>
      <c r="F140" s="41" t="s">
        <v>9</v>
      </c>
      <c r="G140" s="41" t="s">
        <v>241</v>
      </c>
      <c r="H140" s="41" t="s">
        <v>479</v>
      </c>
      <c r="I140" s="41" t="s">
        <v>57</v>
      </c>
      <c r="J140" s="46" t="str">
        <f>VLOOKUP(I140,'DESCRICAO PRODUTO'!$A:$C,2,0)</f>
        <v>TORRE DE SOM AWS-T2W-01 BIVOLT BLUETOOTH</v>
      </c>
      <c r="K140" s="41" t="str">
        <f>VLOOKUP(I140,'DESCRICAO PRODUTO'!$A:$C,3,0)</f>
        <v>T2W</v>
      </c>
      <c r="L140" s="50">
        <v>53</v>
      </c>
      <c r="M140" s="50">
        <v>53</v>
      </c>
      <c r="N140" s="51">
        <f t="shared" si="2"/>
        <v>0</v>
      </c>
      <c r="O140" s="40">
        <v>46127</v>
      </c>
      <c r="P140" s="40">
        <v>46125</v>
      </c>
      <c r="Q140" s="34" t="s">
        <v>455</v>
      </c>
      <c r="R140" s="18"/>
      <c r="S140" s="18">
        <v>30006</v>
      </c>
      <c r="T140" s="18" t="s">
        <v>453</v>
      </c>
      <c r="U140" s="33">
        <v>46148</v>
      </c>
    </row>
    <row r="141" spans="1:21" ht="15" customHeight="1">
      <c r="A141" s="48">
        <v>1</v>
      </c>
      <c r="B141" s="40">
        <v>46065</v>
      </c>
      <c r="C141" s="41" t="s">
        <v>240</v>
      </c>
      <c r="D141" s="41" t="s">
        <v>7</v>
      </c>
      <c r="E141" s="49" t="s">
        <v>8</v>
      </c>
      <c r="F141" s="41" t="s">
        <v>9</v>
      </c>
      <c r="G141" s="41" t="s">
        <v>241</v>
      </c>
      <c r="H141" s="41" t="s">
        <v>479</v>
      </c>
      <c r="I141" s="41" t="s">
        <v>10</v>
      </c>
      <c r="J141" s="46" t="str">
        <f>VLOOKUP(I141,'DESCRICAO PRODUTO'!$A:$C,2,0)</f>
        <v>TORRE DE SOM AWS-T2W-02 BIVOLT BLUETOOTH</v>
      </c>
      <c r="K141" s="41" t="str">
        <f>VLOOKUP(I141,'DESCRICAO PRODUTO'!$A:$C,3,0)</f>
        <v>T2W</v>
      </c>
      <c r="L141" s="50">
        <v>974</v>
      </c>
      <c r="M141" s="50">
        <v>974</v>
      </c>
      <c r="N141" s="51">
        <f t="shared" si="2"/>
        <v>0</v>
      </c>
      <c r="O141" s="40">
        <v>46127</v>
      </c>
      <c r="P141" s="40">
        <v>46125</v>
      </c>
      <c r="Q141" s="34" t="s">
        <v>455</v>
      </c>
      <c r="R141" s="18"/>
      <c r="S141" s="18">
        <v>30006</v>
      </c>
      <c r="T141" s="18" t="s">
        <v>453</v>
      </c>
      <c r="U141" s="33">
        <v>46148</v>
      </c>
    </row>
    <row r="142" spans="1:21" ht="15" customHeight="1">
      <c r="A142" s="48">
        <v>1</v>
      </c>
      <c r="B142" s="40">
        <v>46065</v>
      </c>
      <c r="C142" s="41" t="s">
        <v>240</v>
      </c>
      <c r="D142" s="41" t="s">
        <v>7</v>
      </c>
      <c r="E142" s="49" t="s">
        <v>332</v>
      </c>
      <c r="F142" s="41" t="s">
        <v>333</v>
      </c>
      <c r="G142" s="41" t="s">
        <v>233</v>
      </c>
      <c r="H142" s="41" t="s">
        <v>481</v>
      </c>
      <c r="I142" s="41" t="s">
        <v>226</v>
      </c>
      <c r="J142" s="46" t="str">
        <f>VLOOKUP(I142,'DESCRICAO PRODUTO'!$A:$C,2,0)</f>
        <v>TORRE DE SOM TM-1200 BIV</v>
      </c>
      <c r="K142" s="41" t="str">
        <f>VLOOKUP(I142,'DESCRICAO PRODUTO'!$A:$C,3,0)</f>
        <v>TM1200</v>
      </c>
      <c r="L142" s="50">
        <v>26</v>
      </c>
      <c r="M142" s="50">
        <v>26</v>
      </c>
      <c r="N142" s="51">
        <f t="shared" si="2"/>
        <v>0</v>
      </c>
      <c r="O142" s="40">
        <v>46100</v>
      </c>
      <c r="P142" s="40">
        <v>46122</v>
      </c>
      <c r="Q142" s="34" t="s">
        <v>455</v>
      </c>
      <c r="R142" s="18"/>
      <c r="S142" s="18">
        <v>29917</v>
      </c>
      <c r="T142" s="18" t="s">
        <v>452</v>
      </c>
      <c r="U142" s="33">
        <v>46146</v>
      </c>
    </row>
    <row r="143" spans="1:21" ht="15" customHeight="1">
      <c r="A143" s="48">
        <v>1</v>
      </c>
      <c r="B143" s="40">
        <v>46065</v>
      </c>
      <c r="C143" s="41" t="s">
        <v>240</v>
      </c>
      <c r="D143" s="41" t="s">
        <v>7</v>
      </c>
      <c r="E143" s="49" t="s">
        <v>316</v>
      </c>
      <c r="F143" s="41" t="s">
        <v>329</v>
      </c>
      <c r="G143" s="41" t="s">
        <v>241</v>
      </c>
      <c r="H143" s="41" t="s">
        <v>479</v>
      </c>
      <c r="I143" s="41" t="s">
        <v>226</v>
      </c>
      <c r="J143" s="46" t="str">
        <f>VLOOKUP(I143,'DESCRICAO PRODUTO'!$A:$C,2,0)</f>
        <v>TORRE DE SOM TM-1200 BIV</v>
      </c>
      <c r="K143" s="41" t="str">
        <f>VLOOKUP(I143,'DESCRICAO PRODUTO'!$A:$C,3,0)</f>
        <v>TM1200</v>
      </c>
      <c r="L143" s="50">
        <v>13</v>
      </c>
      <c r="M143" s="50">
        <v>13</v>
      </c>
      <c r="N143" s="51">
        <f t="shared" si="2"/>
        <v>0</v>
      </c>
      <c r="O143" s="40">
        <v>46100</v>
      </c>
      <c r="P143" s="40">
        <v>46122</v>
      </c>
      <c r="Q143" s="34" t="s">
        <v>455</v>
      </c>
      <c r="R143" s="18"/>
      <c r="S143" s="18">
        <v>29917</v>
      </c>
      <c r="T143" s="18" t="s">
        <v>452</v>
      </c>
      <c r="U143" s="33">
        <v>46146</v>
      </c>
    </row>
    <row r="144" spans="1:21" ht="15" customHeight="1">
      <c r="A144" s="48">
        <v>1</v>
      </c>
      <c r="B144" s="40">
        <v>46065</v>
      </c>
      <c r="C144" s="41" t="s">
        <v>240</v>
      </c>
      <c r="D144" s="41" t="s">
        <v>7</v>
      </c>
      <c r="E144" s="49" t="s">
        <v>202</v>
      </c>
      <c r="F144" s="41" t="s">
        <v>203</v>
      </c>
      <c r="G144" s="41" t="s">
        <v>233</v>
      </c>
      <c r="H144" s="41" t="s">
        <v>481</v>
      </c>
      <c r="I144" s="41" t="s">
        <v>160</v>
      </c>
      <c r="J144" s="46" t="str">
        <f>VLOOKUP(I144,'DESCRICAO PRODUTO'!$A:$C,2,0)</f>
        <v>TORRE DE SOM TM2200 BIV</v>
      </c>
      <c r="K144" s="41" t="str">
        <f>VLOOKUP(I144,'DESCRICAO PRODUTO'!$A:$C,3,0)</f>
        <v>TM2200</v>
      </c>
      <c r="L144" s="50">
        <v>580</v>
      </c>
      <c r="M144" s="50">
        <v>580</v>
      </c>
      <c r="N144" s="51">
        <f t="shared" si="2"/>
        <v>0</v>
      </c>
      <c r="O144" s="40">
        <v>46100</v>
      </c>
      <c r="P144" s="40">
        <v>46122</v>
      </c>
      <c r="Q144" s="34" t="s">
        <v>455</v>
      </c>
      <c r="R144" s="18"/>
      <c r="S144" s="18">
        <v>29918</v>
      </c>
      <c r="T144" s="18" t="s">
        <v>452</v>
      </c>
      <c r="U144" s="33">
        <v>46146</v>
      </c>
    </row>
    <row r="145" spans="1:21" ht="15" customHeight="1">
      <c r="A145" s="48">
        <v>1</v>
      </c>
      <c r="B145" s="40">
        <v>46065</v>
      </c>
      <c r="C145" s="41" t="s">
        <v>240</v>
      </c>
      <c r="D145" s="41" t="s">
        <v>7</v>
      </c>
      <c r="E145" s="49" t="s">
        <v>161</v>
      </c>
      <c r="F145" s="41" t="s">
        <v>192</v>
      </c>
      <c r="G145" s="41" t="s">
        <v>241</v>
      </c>
      <c r="H145" s="41" t="s">
        <v>479</v>
      </c>
      <c r="I145" s="41" t="s">
        <v>160</v>
      </c>
      <c r="J145" s="46" t="str">
        <f>VLOOKUP(I145,'DESCRICAO PRODUTO'!$A:$C,2,0)</f>
        <v>TORRE DE SOM TM2200 BIV</v>
      </c>
      <c r="K145" s="41" t="str">
        <f>VLOOKUP(I145,'DESCRICAO PRODUTO'!$A:$C,3,0)</f>
        <v>TM2200</v>
      </c>
      <c r="L145" s="50">
        <v>290</v>
      </c>
      <c r="M145" s="50">
        <v>290</v>
      </c>
      <c r="N145" s="51">
        <f t="shared" si="2"/>
        <v>0</v>
      </c>
      <c r="O145" s="40">
        <v>46100</v>
      </c>
      <c r="P145" s="40">
        <v>46122</v>
      </c>
      <c r="Q145" s="34" t="s">
        <v>455</v>
      </c>
      <c r="R145" s="18"/>
      <c r="S145" s="18">
        <v>29918</v>
      </c>
      <c r="T145" s="18" t="s">
        <v>452</v>
      </c>
      <c r="U145" s="33">
        <v>46146</v>
      </c>
    </row>
    <row r="146" spans="1:21" ht="15" customHeight="1">
      <c r="A146" s="48">
        <v>1</v>
      </c>
      <c r="B146" s="40">
        <v>46065</v>
      </c>
      <c r="C146" s="41" t="s">
        <v>240</v>
      </c>
      <c r="D146" s="41" t="s">
        <v>7</v>
      </c>
      <c r="E146" s="49" t="s">
        <v>125</v>
      </c>
      <c r="F146" s="41" t="s">
        <v>184</v>
      </c>
      <c r="G146" s="41" t="s">
        <v>241</v>
      </c>
      <c r="H146" s="41" t="s">
        <v>479</v>
      </c>
      <c r="I146" s="41" t="s">
        <v>90</v>
      </c>
      <c r="J146" s="46" t="str">
        <f>VLOOKUP(I146,'DESCRICAO PRODUTO'!$A:$C,2,0)</f>
        <v>TV 32 ANDROID BORD INF AWS-TV-32-BL-02-A</v>
      </c>
      <c r="K146" s="41" t="str">
        <f>VLOOKUP(I146,'DESCRICAO PRODUTO'!$A:$C,3,0)</f>
        <v>TV 32 ANDROID</v>
      </c>
      <c r="L146" s="50">
        <v>1390</v>
      </c>
      <c r="M146" s="50">
        <v>1390</v>
      </c>
      <c r="N146" s="51">
        <f t="shared" si="2"/>
        <v>0</v>
      </c>
      <c r="O146" s="40">
        <v>46153</v>
      </c>
      <c r="P146" s="40">
        <v>46168</v>
      </c>
      <c r="Q146" s="34" t="s">
        <v>455</v>
      </c>
      <c r="R146" s="18"/>
      <c r="S146" s="18">
        <v>30385</v>
      </c>
      <c r="T146" s="18" t="s">
        <v>473</v>
      </c>
      <c r="U146" s="33">
        <v>46189</v>
      </c>
    </row>
    <row r="147" spans="1:21" ht="15" customHeight="1">
      <c r="A147" s="48">
        <v>1</v>
      </c>
      <c r="B147" s="40">
        <v>46065</v>
      </c>
      <c r="C147" s="41" t="s">
        <v>240</v>
      </c>
      <c r="D147" s="41" t="s">
        <v>7</v>
      </c>
      <c r="E147" s="49" t="s">
        <v>317</v>
      </c>
      <c r="F147" s="41" t="s">
        <v>184</v>
      </c>
      <c r="G147" s="41" t="s">
        <v>241</v>
      </c>
      <c r="H147" s="41" t="s">
        <v>479</v>
      </c>
      <c r="I147" s="41" t="s">
        <v>141</v>
      </c>
      <c r="J147" s="46" t="str">
        <f>VLOOKUP(I147,'DESCRICAO PRODUTO'!$A:$C,2,0)</f>
        <v>TV 32 ANDROID BORD INF AWS-TV-32-BL-02-A</v>
      </c>
      <c r="K147" s="41" t="str">
        <f>VLOOKUP(I147,'DESCRICAO PRODUTO'!$A:$C,3,0)</f>
        <v>TV 32 ANDROID</v>
      </c>
      <c r="L147" s="50">
        <v>24</v>
      </c>
      <c r="M147" s="50">
        <v>24</v>
      </c>
      <c r="N147" s="51">
        <f t="shared" si="2"/>
        <v>0</v>
      </c>
      <c r="O147" s="40">
        <v>46100</v>
      </c>
      <c r="P147" s="40">
        <v>46122</v>
      </c>
      <c r="Q147" s="34" t="s">
        <v>455</v>
      </c>
      <c r="R147" s="18"/>
      <c r="S147" s="18">
        <v>29913</v>
      </c>
      <c r="T147" s="18" t="s">
        <v>452</v>
      </c>
      <c r="U147" s="33">
        <v>46146</v>
      </c>
    </row>
    <row r="148" spans="1:21" ht="15" customHeight="1">
      <c r="A148" s="48">
        <v>1</v>
      </c>
      <c r="B148" s="40">
        <v>46065</v>
      </c>
      <c r="C148" s="41" t="s">
        <v>240</v>
      </c>
      <c r="D148" s="41" t="s">
        <v>7</v>
      </c>
      <c r="E148" s="49" t="s">
        <v>29</v>
      </c>
      <c r="F148" s="41" t="s">
        <v>30</v>
      </c>
      <c r="G148" s="41" t="s">
        <v>241</v>
      </c>
      <c r="H148" s="41" t="s">
        <v>479</v>
      </c>
      <c r="I148" s="41" t="s">
        <v>17</v>
      </c>
      <c r="J148" s="46" t="str">
        <f>VLOOKUP(I148,'DESCRICAO PRODUTO'!$A:$C,2,0)</f>
        <v>TV 43 ANDROID BORD INF AWS-TV-43-BL-02-A</v>
      </c>
      <c r="K148" s="41" t="str">
        <f>VLOOKUP(I148,'DESCRICAO PRODUTO'!$A:$C,3,0)</f>
        <v>TV 43 ANDROID</v>
      </c>
      <c r="L148" s="50">
        <v>119</v>
      </c>
      <c r="M148" s="50">
        <v>119</v>
      </c>
      <c r="N148" s="51">
        <f t="shared" si="2"/>
        <v>0</v>
      </c>
      <c r="O148" s="40">
        <v>46153</v>
      </c>
      <c r="P148" s="40">
        <v>46168</v>
      </c>
      <c r="Q148" s="34" t="s">
        <v>455</v>
      </c>
      <c r="R148" s="18"/>
      <c r="S148" s="18">
        <v>30385</v>
      </c>
      <c r="T148" s="18" t="s">
        <v>473</v>
      </c>
      <c r="U148" s="33">
        <v>46189</v>
      </c>
    </row>
    <row r="149" spans="1:21" ht="15" customHeight="1">
      <c r="A149" s="48">
        <v>1</v>
      </c>
      <c r="B149" s="40">
        <v>46065</v>
      </c>
      <c r="C149" s="41" t="s">
        <v>240</v>
      </c>
      <c r="D149" s="41" t="s">
        <v>7</v>
      </c>
      <c r="E149" s="49" t="s">
        <v>330</v>
      </c>
      <c r="F149" s="41" t="s">
        <v>30</v>
      </c>
      <c r="G149" s="41" t="s">
        <v>241</v>
      </c>
      <c r="H149" s="41" t="s">
        <v>479</v>
      </c>
      <c r="I149" s="41" t="s">
        <v>93</v>
      </c>
      <c r="J149" s="46" t="str">
        <f>VLOOKUP(I149,'DESCRICAO PRODUTO'!$A:$C,2,0)</f>
        <v>TV 43 ANDROID BORD INF AWS-TV-43-BL-02-A</v>
      </c>
      <c r="K149" s="41" t="str">
        <f>VLOOKUP(I149,'DESCRICAO PRODUTO'!$A:$C,3,0)</f>
        <v>TV 43 ANDROID</v>
      </c>
      <c r="L149" s="50">
        <v>4144</v>
      </c>
      <c r="M149" s="50"/>
      <c r="N149" s="51">
        <f t="shared" si="2"/>
        <v>-4144</v>
      </c>
      <c r="O149" s="40">
        <v>46262</v>
      </c>
      <c r="P149" s="40">
        <v>46269</v>
      </c>
      <c r="Q149" s="34" t="s">
        <v>505</v>
      </c>
      <c r="R149" s="18" t="s">
        <v>552</v>
      </c>
      <c r="S149" s="18"/>
      <c r="T149" s="18"/>
      <c r="U149" s="33"/>
    </row>
    <row r="150" spans="1:21" ht="15" customHeight="1">
      <c r="A150" s="48">
        <v>1</v>
      </c>
      <c r="B150" s="40">
        <v>46065</v>
      </c>
      <c r="C150" s="41" t="s">
        <v>240</v>
      </c>
      <c r="D150" s="41" t="s">
        <v>7</v>
      </c>
      <c r="E150" s="49" t="s">
        <v>29</v>
      </c>
      <c r="F150" s="41" t="s">
        <v>30</v>
      </c>
      <c r="G150" s="41" t="s">
        <v>241</v>
      </c>
      <c r="H150" s="41" t="s">
        <v>479</v>
      </c>
      <c r="I150" s="41" t="s">
        <v>142</v>
      </c>
      <c r="J150" s="46" t="str">
        <f>VLOOKUP(I150,'DESCRICAO PRODUTO'!$A:$C,2,0)</f>
        <v>TV 43 ANDROID BORD INF AWS-TV-43-BL-02-A</v>
      </c>
      <c r="K150" s="41" t="str">
        <f>VLOOKUP(I150,'DESCRICAO PRODUTO'!$A:$C,3,0)</f>
        <v>TV 43 ANDROID</v>
      </c>
      <c r="L150" s="50">
        <v>17</v>
      </c>
      <c r="M150" s="50">
        <v>17</v>
      </c>
      <c r="N150" s="51">
        <f t="shared" si="2"/>
        <v>0</v>
      </c>
      <c r="O150" s="40">
        <v>46153</v>
      </c>
      <c r="P150" s="40">
        <v>46168</v>
      </c>
      <c r="Q150" s="34" t="s">
        <v>455</v>
      </c>
      <c r="R150" s="18"/>
      <c r="S150" s="18">
        <v>30385</v>
      </c>
      <c r="T150" s="18" t="s">
        <v>473</v>
      </c>
      <c r="U150" s="33">
        <v>46189</v>
      </c>
    </row>
    <row r="151" spans="1:21" ht="15" customHeight="1">
      <c r="A151" s="48">
        <v>1</v>
      </c>
      <c r="B151" s="40">
        <v>46065</v>
      </c>
      <c r="C151" s="41" t="s">
        <v>240</v>
      </c>
      <c r="D151" s="41" t="s">
        <v>7</v>
      </c>
      <c r="E151" s="49" t="s">
        <v>235</v>
      </c>
      <c r="F151" s="41" t="s">
        <v>188</v>
      </c>
      <c r="G151" s="41" t="s">
        <v>241</v>
      </c>
      <c r="H151" s="41" t="s">
        <v>479</v>
      </c>
      <c r="I151" s="41" t="s">
        <v>139</v>
      </c>
      <c r="J151" s="46" t="str">
        <f>VLOOKUP(I151,'DESCRICAO PRODUTO'!$A:$C,2,0)</f>
        <v>TV 50 ANDROID BORD INF AWS-TV-50-BL-02-A</v>
      </c>
      <c r="K151" s="41" t="str">
        <f>VLOOKUP(I151,'DESCRICAO PRODUTO'!$A:$C,3,0)</f>
        <v>TV 50 ANDROID</v>
      </c>
      <c r="L151" s="50">
        <v>1230</v>
      </c>
      <c r="M151" s="50">
        <v>1230</v>
      </c>
      <c r="N151" s="51">
        <f t="shared" si="2"/>
        <v>0</v>
      </c>
      <c r="O151" s="40">
        <v>46100</v>
      </c>
      <c r="P151" s="40">
        <v>46108</v>
      </c>
      <c r="Q151" s="34" t="s">
        <v>455</v>
      </c>
      <c r="R151" s="18"/>
      <c r="S151" s="18">
        <v>29860</v>
      </c>
      <c r="T151" s="18" t="s">
        <v>341</v>
      </c>
      <c r="U151" s="33">
        <v>46128</v>
      </c>
    </row>
    <row r="152" spans="1:21" ht="15" customHeight="1">
      <c r="A152" s="48">
        <v>1</v>
      </c>
      <c r="B152" s="40">
        <v>46065</v>
      </c>
      <c r="C152" s="41" t="s">
        <v>240</v>
      </c>
      <c r="D152" s="41" t="s">
        <v>7</v>
      </c>
      <c r="E152" s="49" t="s">
        <v>155</v>
      </c>
      <c r="F152" s="41" t="s">
        <v>188</v>
      </c>
      <c r="G152" s="41" t="s">
        <v>241</v>
      </c>
      <c r="H152" s="41" t="s">
        <v>479</v>
      </c>
      <c r="I152" s="41" t="s">
        <v>136</v>
      </c>
      <c r="J152" s="46" t="str">
        <f>VLOOKUP(I152,'DESCRICAO PRODUTO'!$A:$C,2,0)</f>
        <v>TV 50 SMART AWS-TV-50-BL-01</v>
      </c>
      <c r="K152" s="41" t="str">
        <f>VLOOKUP(I152,'DESCRICAO PRODUTO'!$A:$C,3,0)</f>
        <v>TV 50 SMART</v>
      </c>
      <c r="L152" s="50">
        <v>17</v>
      </c>
      <c r="M152" s="50"/>
      <c r="N152" s="51">
        <f t="shared" si="2"/>
        <v>-17</v>
      </c>
      <c r="O152" s="40" t="s">
        <v>472</v>
      </c>
      <c r="P152" s="40" t="s">
        <v>472</v>
      </c>
      <c r="Q152" s="34" t="s">
        <v>506</v>
      </c>
      <c r="R152" s="18"/>
      <c r="S152" s="18"/>
      <c r="T152" s="18"/>
      <c r="U152" s="33"/>
    </row>
    <row r="153" spans="1:21" ht="15" customHeight="1">
      <c r="A153" s="48">
        <v>1</v>
      </c>
      <c r="B153" s="40">
        <v>46065</v>
      </c>
      <c r="C153" s="41" t="s">
        <v>240</v>
      </c>
      <c r="D153" s="41" t="s">
        <v>7</v>
      </c>
      <c r="E153" s="49" t="s">
        <v>37</v>
      </c>
      <c r="F153" s="41" t="s">
        <v>38</v>
      </c>
      <c r="G153" s="41" t="s">
        <v>241</v>
      </c>
      <c r="H153" s="41" t="s">
        <v>479</v>
      </c>
      <c r="I153" s="41" t="s">
        <v>26</v>
      </c>
      <c r="J153" s="46" t="str">
        <f>VLOOKUP(I153,'DESCRICAO PRODUTO'!$A:$C,2,0)</f>
        <v>TV 55 ANDROID AWS-TV-55-BL-01</v>
      </c>
      <c r="K153" s="41" t="str">
        <f>VLOOKUP(I153,'DESCRICAO PRODUTO'!$A:$C,3,0)</f>
        <v>TV 55 ANDROID</v>
      </c>
      <c r="L153" s="50">
        <v>19</v>
      </c>
      <c r="M153" s="50">
        <v>19</v>
      </c>
      <c r="N153" s="51">
        <f t="shared" si="2"/>
        <v>0</v>
      </c>
      <c r="O153" s="40">
        <v>46153</v>
      </c>
      <c r="P153" s="40">
        <v>46168</v>
      </c>
      <c r="Q153" s="34" t="s">
        <v>455</v>
      </c>
      <c r="R153" s="18"/>
      <c r="S153" s="18">
        <v>30385</v>
      </c>
      <c r="T153" s="18" t="s">
        <v>473</v>
      </c>
      <c r="U153" s="33">
        <v>46189</v>
      </c>
    </row>
    <row r="154" spans="1:21" ht="15" customHeight="1">
      <c r="A154" s="48">
        <v>1</v>
      </c>
      <c r="B154" s="40">
        <v>46065</v>
      </c>
      <c r="C154" s="41" t="s">
        <v>240</v>
      </c>
      <c r="D154" s="41" t="s">
        <v>7</v>
      </c>
      <c r="E154" s="49" t="s">
        <v>236</v>
      </c>
      <c r="F154" s="41" t="s">
        <v>38</v>
      </c>
      <c r="G154" s="41" t="s">
        <v>241</v>
      </c>
      <c r="H154" s="41" t="s">
        <v>479</v>
      </c>
      <c r="I154" s="41" t="s">
        <v>26</v>
      </c>
      <c r="J154" s="46" t="str">
        <f>VLOOKUP(I154,'DESCRICAO PRODUTO'!$A:$C,2,0)</f>
        <v>TV 55 ANDROID AWS-TV-55-BL-01</v>
      </c>
      <c r="K154" s="41" t="str">
        <f>VLOOKUP(I154,'DESCRICAO PRODUTO'!$A:$C,3,0)</f>
        <v>TV 55 ANDROID</v>
      </c>
      <c r="L154" s="50">
        <f>SUM(22-19)</f>
        <v>3</v>
      </c>
      <c r="M154" s="50"/>
      <c r="N154" s="51">
        <f t="shared" si="2"/>
        <v>-3</v>
      </c>
      <c r="O154" s="40">
        <v>46252</v>
      </c>
      <c r="P154" s="40">
        <v>46258</v>
      </c>
      <c r="Q154" s="34" t="s">
        <v>505</v>
      </c>
      <c r="R154" s="55" t="s">
        <v>548</v>
      </c>
      <c r="S154" s="18"/>
      <c r="T154" s="18"/>
      <c r="U154" s="33"/>
    </row>
    <row r="155" spans="1:21" ht="15" customHeight="1">
      <c r="A155" s="48">
        <v>1</v>
      </c>
      <c r="B155" s="40">
        <v>46065</v>
      </c>
      <c r="C155" s="41" t="s">
        <v>240</v>
      </c>
      <c r="D155" s="41" t="s">
        <v>7</v>
      </c>
      <c r="E155" s="49" t="s">
        <v>236</v>
      </c>
      <c r="F155" s="41" t="s">
        <v>38</v>
      </c>
      <c r="G155" s="41" t="s">
        <v>241</v>
      </c>
      <c r="H155" s="41" t="s">
        <v>479</v>
      </c>
      <c r="I155" s="41" t="s">
        <v>95</v>
      </c>
      <c r="J155" s="46" t="str">
        <f>VLOOKUP(I155,'DESCRICAO PRODUTO'!$A:$C,2,0)</f>
        <v>TV 55 ANDROID AWS-TV-55-BL-01</v>
      </c>
      <c r="K155" s="41" t="str">
        <f>VLOOKUP(I155,'DESCRICAO PRODUTO'!$A:$C,3,0)</f>
        <v>TV 55 ANDROID</v>
      </c>
      <c r="L155" s="50">
        <v>408</v>
      </c>
      <c r="M155" s="50">
        <v>408</v>
      </c>
      <c r="N155" s="51">
        <f t="shared" si="2"/>
        <v>0</v>
      </c>
      <c r="O155" s="40">
        <v>46100</v>
      </c>
      <c r="P155" s="40">
        <v>46108</v>
      </c>
      <c r="Q155" s="34" t="s">
        <v>455</v>
      </c>
      <c r="R155" s="18"/>
      <c r="S155" s="18">
        <v>29859</v>
      </c>
      <c r="T155" s="18" t="s">
        <v>341</v>
      </c>
      <c r="U155" s="33">
        <v>46128</v>
      </c>
    </row>
    <row r="156" spans="1:21" ht="15" customHeight="1">
      <c r="A156" s="48">
        <v>1</v>
      </c>
      <c r="B156" s="40">
        <v>46065</v>
      </c>
      <c r="C156" s="41" t="s">
        <v>240</v>
      </c>
      <c r="D156" s="41" t="s">
        <v>7</v>
      </c>
      <c r="E156" s="49" t="s">
        <v>318</v>
      </c>
      <c r="F156" s="41" t="s">
        <v>189</v>
      </c>
      <c r="G156" s="41" t="s">
        <v>241</v>
      </c>
      <c r="H156" s="41" t="s">
        <v>479</v>
      </c>
      <c r="I156" s="41" t="s">
        <v>137</v>
      </c>
      <c r="J156" s="46" t="str">
        <f>VLOOKUP(I156,'DESCRICAO PRODUTO'!$A:$C,2,0)</f>
        <v>TV 65 GOOGLE INF AWS-TV-65-BL-01-G</v>
      </c>
      <c r="K156" s="41" t="str">
        <f>VLOOKUP(I156,'DESCRICAO PRODUTO'!$A:$C,3,0)</f>
        <v>TV 65</v>
      </c>
      <c r="L156" s="50">
        <v>6</v>
      </c>
      <c r="M156" s="50">
        <v>6</v>
      </c>
      <c r="N156" s="51">
        <f t="shared" si="2"/>
        <v>0</v>
      </c>
      <c r="O156" s="40">
        <v>46153</v>
      </c>
      <c r="P156" s="40">
        <v>46160</v>
      </c>
      <c r="Q156" s="34" t="s">
        <v>455</v>
      </c>
      <c r="R156" s="18"/>
      <c r="S156" s="18">
        <v>30320</v>
      </c>
      <c r="T156" s="18" t="s">
        <v>463</v>
      </c>
      <c r="U156" s="33">
        <v>46184</v>
      </c>
    </row>
    <row r="157" spans="1:21" ht="15" customHeight="1">
      <c r="A157" s="48">
        <v>1</v>
      </c>
      <c r="B157" s="40">
        <v>46065</v>
      </c>
      <c r="C157" s="41" t="s">
        <v>240</v>
      </c>
      <c r="D157" s="41" t="s">
        <v>7</v>
      </c>
      <c r="E157" s="49" t="s">
        <v>163</v>
      </c>
      <c r="F157" s="41" t="s">
        <v>188</v>
      </c>
      <c r="G157" s="41" t="s">
        <v>241</v>
      </c>
      <c r="H157" s="41" t="s">
        <v>479</v>
      </c>
      <c r="I157" s="41" t="s">
        <v>138</v>
      </c>
      <c r="J157" s="46" t="str">
        <f>VLOOKUP(I157,'DESCRICAO PRODUTO'!$A:$C,2,0)</f>
        <v>TV 50 ANDROID BORD INF AWS-TV-50-BL-02-A</v>
      </c>
      <c r="K157" s="41" t="str">
        <f>VLOOKUP(I157,'DESCRICAO PRODUTO'!$A:$C,3,0)</f>
        <v>TV 50 ANDROID</v>
      </c>
      <c r="L157" s="50">
        <v>1</v>
      </c>
      <c r="M157" s="50">
        <v>1</v>
      </c>
      <c r="N157" s="51">
        <f t="shared" si="2"/>
        <v>0</v>
      </c>
      <c r="O157" s="40">
        <v>46153</v>
      </c>
      <c r="P157" s="40">
        <v>46160</v>
      </c>
      <c r="Q157" s="34" t="s">
        <v>455</v>
      </c>
      <c r="R157" s="18"/>
      <c r="S157" s="18">
        <v>30320</v>
      </c>
      <c r="T157" s="18" t="s">
        <v>463</v>
      </c>
      <c r="U157" s="33">
        <v>46184</v>
      </c>
    </row>
    <row r="158" spans="1:21" ht="15" customHeight="1">
      <c r="A158" s="48">
        <v>1</v>
      </c>
      <c r="B158" s="40">
        <v>46065</v>
      </c>
      <c r="C158" s="41" t="s">
        <v>240</v>
      </c>
      <c r="D158" s="41" t="s">
        <v>7</v>
      </c>
      <c r="E158" s="49" t="s">
        <v>208</v>
      </c>
      <c r="F158" s="41" t="s">
        <v>209</v>
      </c>
      <c r="G158" s="41" t="s">
        <v>241</v>
      </c>
      <c r="H158" s="41" t="s">
        <v>479</v>
      </c>
      <c r="I158" s="41" t="s">
        <v>207</v>
      </c>
      <c r="J158" s="46" t="str">
        <f>VLOOKUP(I158,'DESCRICAO PRODUTO'!$A:$C,2,0)</f>
        <v>TV 75 GOOGLE BORD INF AWS</v>
      </c>
      <c r="K158" s="41" t="str">
        <f>VLOOKUP(I158,'DESCRICAO PRODUTO'!$A:$C,3,0)</f>
        <v>TV 75</v>
      </c>
      <c r="L158" s="50">
        <v>1</v>
      </c>
      <c r="M158" s="50"/>
      <c r="N158" s="51">
        <f t="shared" si="2"/>
        <v>-1</v>
      </c>
      <c r="O158" s="40" t="s">
        <v>472</v>
      </c>
      <c r="P158" s="40" t="s">
        <v>472</v>
      </c>
      <c r="Q158" s="34" t="s">
        <v>506</v>
      </c>
      <c r="R158" s="18"/>
      <c r="S158" s="18"/>
      <c r="T158" s="18"/>
      <c r="U158" s="33"/>
    </row>
    <row r="159" spans="1:21" ht="15" customHeight="1">
      <c r="A159" s="48">
        <v>1</v>
      </c>
      <c r="B159" s="40">
        <v>46065</v>
      </c>
      <c r="C159" s="41" t="s">
        <v>240</v>
      </c>
      <c r="D159" s="41" t="s">
        <v>7</v>
      </c>
      <c r="E159" s="49" t="s">
        <v>449</v>
      </c>
      <c r="F159" s="41" t="s">
        <v>451</v>
      </c>
      <c r="G159" s="41" t="s">
        <v>233</v>
      </c>
      <c r="H159" s="41" t="s">
        <v>481</v>
      </c>
      <c r="I159" s="41" t="s">
        <v>89</v>
      </c>
      <c r="J159" s="46" t="str">
        <f>VLOOKUP(I159,'DESCRICAO PRODUTO'!$A:$C,2,0)</f>
        <v>CAIXA AMPLIFICADA CM-700 BIVOLT .</v>
      </c>
      <c r="K159" s="41" t="str">
        <f>VLOOKUP(I159,'DESCRICAO PRODUTO'!$A:$C,3,0)</f>
        <v>CM 700</v>
      </c>
      <c r="L159" s="50">
        <v>40</v>
      </c>
      <c r="M159" s="50"/>
      <c r="N159" s="51">
        <f t="shared" si="2"/>
        <v>-40</v>
      </c>
      <c r="O159" s="40"/>
      <c r="P159" s="40"/>
      <c r="Q159" s="34" t="s">
        <v>4</v>
      </c>
      <c r="R159" s="18" t="s">
        <v>549</v>
      </c>
      <c r="S159" s="18"/>
      <c r="T159" s="18"/>
      <c r="U159" s="33"/>
    </row>
    <row r="160" spans="1:21" ht="15" customHeight="1">
      <c r="A160" s="48">
        <v>1</v>
      </c>
      <c r="B160" s="40">
        <v>46065</v>
      </c>
      <c r="C160" s="41" t="s">
        <v>240</v>
      </c>
      <c r="D160" s="41" t="s">
        <v>7</v>
      </c>
      <c r="E160" s="49" t="s">
        <v>510</v>
      </c>
      <c r="F160" s="41" t="s">
        <v>198</v>
      </c>
      <c r="G160" s="41" t="s">
        <v>233</v>
      </c>
      <c r="H160" s="41" t="s">
        <v>482</v>
      </c>
      <c r="I160" s="41" t="s">
        <v>80</v>
      </c>
      <c r="J160" s="46" t="str">
        <f>VLOOKUP(I160,'DESCRICAO PRODUTO'!$A:$C,2,0)</f>
        <v>MICRO-ONDAS MO-02-34-E 127V/60HZ .</v>
      </c>
      <c r="K160" s="41" t="str">
        <f>VLOOKUP(I160,'DESCRICAO PRODUTO'!$A:$C,3,0)</f>
        <v>MO 34L</v>
      </c>
      <c r="L160" s="38">
        <v>315</v>
      </c>
      <c r="M160" s="58">
        <v>315</v>
      </c>
      <c r="N160" s="51">
        <f t="shared" si="2"/>
        <v>0</v>
      </c>
      <c r="O160" s="40">
        <v>46241</v>
      </c>
      <c r="P160" s="40">
        <v>46245</v>
      </c>
      <c r="Q160" s="34" t="s">
        <v>455</v>
      </c>
      <c r="R160" s="18" t="s">
        <v>514</v>
      </c>
      <c r="S160" s="18">
        <v>31172</v>
      </c>
      <c r="T160" s="18" t="s">
        <v>517</v>
      </c>
      <c r="U160" s="54">
        <v>46260</v>
      </c>
    </row>
    <row r="161" spans="1:21" ht="15" customHeight="1">
      <c r="A161" s="48">
        <v>2</v>
      </c>
      <c r="B161" s="40">
        <v>46078</v>
      </c>
      <c r="C161" s="41" t="s">
        <v>287</v>
      </c>
      <c r="D161" s="41" t="s">
        <v>7</v>
      </c>
      <c r="E161" s="49" t="s">
        <v>11</v>
      </c>
      <c r="F161" s="41" t="s">
        <v>12</v>
      </c>
      <c r="G161" s="41" t="s">
        <v>241</v>
      </c>
      <c r="H161" s="41" t="s">
        <v>479</v>
      </c>
      <c r="I161" s="41" t="s">
        <v>13</v>
      </c>
      <c r="J161" s="46" t="str">
        <f>VLOOKUP(I161,'DESCRICAO PRODUTO'!$A:$C,2,0)</f>
        <v>TORRE DE SOM AWS-T1W-02 BIVOLT BLUETOOTH</v>
      </c>
      <c r="K161" s="41" t="str">
        <f>VLOOKUP(I161,'DESCRICAO PRODUTO'!$A:$C,3,0)</f>
        <v>T1W</v>
      </c>
      <c r="L161" s="50">
        <v>173</v>
      </c>
      <c r="M161" s="50">
        <v>173</v>
      </c>
      <c r="N161" s="51">
        <f t="shared" si="2"/>
        <v>0</v>
      </c>
      <c r="O161" s="40">
        <v>46078</v>
      </c>
      <c r="P161" s="40">
        <v>46091</v>
      </c>
      <c r="Q161" s="34" t="s">
        <v>455</v>
      </c>
      <c r="R161" s="18"/>
      <c r="S161" s="18">
        <v>29521</v>
      </c>
      <c r="T161" s="18" t="s">
        <v>300</v>
      </c>
      <c r="U161" s="33">
        <v>46111</v>
      </c>
    </row>
    <row r="162" spans="1:21" ht="15" customHeight="1">
      <c r="A162" s="48">
        <v>2</v>
      </c>
      <c r="B162" s="40">
        <v>46078</v>
      </c>
      <c r="C162" s="41" t="s">
        <v>287</v>
      </c>
      <c r="D162" s="41" t="s">
        <v>7</v>
      </c>
      <c r="E162" s="49" t="s">
        <v>14</v>
      </c>
      <c r="F162" s="41" t="s">
        <v>450</v>
      </c>
      <c r="G162" s="41" t="s">
        <v>233</v>
      </c>
      <c r="H162" s="41" t="s">
        <v>481</v>
      </c>
      <c r="I162" s="41" t="s">
        <v>13</v>
      </c>
      <c r="J162" s="46" t="str">
        <f>VLOOKUP(I162,'DESCRICAO PRODUTO'!$A:$C,2,0)</f>
        <v>TORRE DE SOM AWS-T1W-02 BIVOLT BLUETOOTH</v>
      </c>
      <c r="K162" s="41" t="str">
        <f>VLOOKUP(I162,'DESCRICAO PRODUTO'!$A:$C,3,0)</f>
        <v>T1W</v>
      </c>
      <c r="L162" s="50">
        <v>346</v>
      </c>
      <c r="M162" s="50">
        <v>346</v>
      </c>
      <c r="N162" s="51">
        <f t="shared" si="2"/>
        <v>0</v>
      </c>
      <c r="O162" s="40">
        <v>46078</v>
      </c>
      <c r="P162" s="40">
        <v>46091</v>
      </c>
      <c r="Q162" s="34" t="s">
        <v>455</v>
      </c>
      <c r="R162" s="18"/>
      <c r="S162" s="18">
        <v>29521</v>
      </c>
      <c r="T162" s="18" t="s">
        <v>300</v>
      </c>
      <c r="U162" s="33">
        <v>46111</v>
      </c>
    </row>
    <row r="163" spans="1:21" ht="15" customHeight="1">
      <c r="A163" s="48">
        <v>3</v>
      </c>
      <c r="B163" s="40">
        <v>46088</v>
      </c>
      <c r="C163" s="41" t="s">
        <v>240</v>
      </c>
      <c r="D163" s="41" t="s">
        <v>7</v>
      </c>
      <c r="E163" s="49" t="s">
        <v>330</v>
      </c>
      <c r="F163" s="41" t="s">
        <v>30</v>
      </c>
      <c r="G163" s="41" t="s">
        <v>241</v>
      </c>
      <c r="H163" s="41" t="s">
        <v>479</v>
      </c>
      <c r="I163" s="41" t="s">
        <v>17</v>
      </c>
      <c r="J163" s="46" t="str">
        <f>VLOOKUP(I163,'DESCRICAO PRODUTO'!$A:$C,2,0)</f>
        <v>TV 43 ANDROID BORD INF AWS-TV-43-BL-02-A</v>
      </c>
      <c r="K163" s="41" t="str">
        <f>VLOOKUP(I163,'DESCRICAO PRODUTO'!$A:$C,3,0)</f>
        <v>TV 43 ANDROID</v>
      </c>
      <c r="L163" s="50">
        <v>1</v>
      </c>
      <c r="M163" s="50">
        <v>1</v>
      </c>
      <c r="N163" s="51">
        <f t="shared" si="2"/>
        <v>0</v>
      </c>
      <c r="O163" s="40">
        <v>46100</v>
      </c>
      <c r="P163" s="40">
        <v>46122</v>
      </c>
      <c r="Q163" s="34" t="s">
        <v>455</v>
      </c>
      <c r="R163" s="18"/>
      <c r="S163" s="18">
        <v>29913</v>
      </c>
      <c r="T163" s="18" t="s">
        <v>452</v>
      </c>
      <c r="U163" s="33">
        <v>46146</v>
      </c>
    </row>
    <row r="164" spans="1:21" ht="15" customHeight="1">
      <c r="A164" s="48">
        <v>3</v>
      </c>
      <c r="B164" s="40">
        <v>46088</v>
      </c>
      <c r="C164" s="41" t="s">
        <v>240</v>
      </c>
      <c r="D164" s="41" t="s">
        <v>7</v>
      </c>
      <c r="E164" s="49" t="s">
        <v>509</v>
      </c>
      <c r="F164" s="41" t="s">
        <v>33</v>
      </c>
      <c r="G164" s="41" t="s">
        <v>241</v>
      </c>
      <c r="H164" s="41" t="s">
        <v>479</v>
      </c>
      <c r="I164" s="41" t="s">
        <v>24</v>
      </c>
      <c r="J164" s="46" t="str">
        <f>VLOOKUP(I164,'DESCRICAO PRODUTO'!$A:$C,2,0)</f>
        <v>BOOMBOX AWS-BBS-01-B BIVOLT</v>
      </c>
      <c r="K164" s="41" t="str">
        <f>VLOOKUP(I164,'DESCRICAO PRODUTO'!$A:$C,3,0)</f>
        <v>BBS PRETO</v>
      </c>
      <c r="L164" s="50">
        <v>131</v>
      </c>
      <c r="M164" s="50">
        <v>131</v>
      </c>
      <c r="N164" s="51">
        <f t="shared" si="2"/>
        <v>0</v>
      </c>
      <c r="O164" s="40">
        <v>46100</v>
      </c>
      <c r="P164" s="40">
        <v>46104</v>
      </c>
      <c r="Q164" s="34" t="s">
        <v>455</v>
      </c>
      <c r="R164" s="18"/>
      <c r="S164" s="18">
        <v>29810</v>
      </c>
      <c r="T164" s="18" t="s">
        <v>336</v>
      </c>
      <c r="U164" s="33">
        <v>46124</v>
      </c>
    </row>
    <row r="165" spans="1:21" ht="15" customHeight="1">
      <c r="A165" s="48">
        <v>3</v>
      </c>
      <c r="B165" s="40">
        <v>46088</v>
      </c>
      <c r="C165" s="41" t="s">
        <v>240</v>
      </c>
      <c r="D165" s="41" t="s">
        <v>7</v>
      </c>
      <c r="E165" s="49" t="s">
        <v>162</v>
      </c>
      <c r="F165" s="41" t="s">
        <v>187</v>
      </c>
      <c r="G165" s="41" t="s">
        <v>241</v>
      </c>
      <c r="H165" s="41" t="s">
        <v>479</v>
      </c>
      <c r="I165" s="41" t="s">
        <v>140</v>
      </c>
      <c r="J165" s="46" t="str">
        <f>VLOOKUP(I165,'DESCRICAO PRODUTO'!$A:$C,2,0)</f>
        <v>BOOMBOX AWS-BBS-01-BG BIVOLT</v>
      </c>
      <c r="K165" s="41" t="str">
        <f>VLOOKUP(I165,'DESCRICAO PRODUTO'!$A:$C,3,0)</f>
        <v>BBS BG</v>
      </c>
      <c r="L165" s="50">
        <v>57</v>
      </c>
      <c r="M165" s="50">
        <v>57</v>
      </c>
      <c r="N165" s="51">
        <f t="shared" si="2"/>
        <v>0</v>
      </c>
      <c r="O165" s="40">
        <v>46100</v>
      </c>
      <c r="P165" s="40">
        <v>46104</v>
      </c>
      <c r="Q165" s="34" t="s">
        <v>455</v>
      </c>
      <c r="R165" s="18"/>
      <c r="S165" s="18">
        <v>29810</v>
      </c>
      <c r="T165" s="18" t="s">
        <v>336</v>
      </c>
      <c r="U165" s="33">
        <v>46124</v>
      </c>
    </row>
    <row r="166" spans="1:21" ht="15" customHeight="1">
      <c r="A166" s="48">
        <v>3</v>
      </c>
      <c r="B166" s="40">
        <v>46088</v>
      </c>
      <c r="C166" s="41" t="s">
        <v>240</v>
      </c>
      <c r="D166" s="41" t="s">
        <v>7</v>
      </c>
      <c r="E166" s="49" t="s">
        <v>123</v>
      </c>
      <c r="F166" s="41" t="s">
        <v>183</v>
      </c>
      <c r="G166" s="41" t="s">
        <v>241</v>
      </c>
      <c r="H166" s="41" t="s">
        <v>479</v>
      </c>
      <c r="I166" s="41" t="s">
        <v>86</v>
      </c>
      <c r="J166" s="46" t="str">
        <f>VLOOKUP(I166,'DESCRICAO PRODUTO'!$A:$C,2,0)</f>
        <v>BOOMBOX C/ LUZES AWS-BBS-01-LBL BIVOLT</v>
      </c>
      <c r="K166" s="41" t="str">
        <f>VLOOKUP(I166,'DESCRICAO PRODUTO'!$A:$C,3,0)</f>
        <v>BBS LBL</v>
      </c>
      <c r="L166" s="50">
        <v>31</v>
      </c>
      <c r="M166" s="50">
        <v>31</v>
      </c>
      <c r="N166" s="51">
        <f t="shared" si="2"/>
        <v>0</v>
      </c>
      <c r="O166" s="40">
        <v>46100</v>
      </c>
      <c r="P166" s="40">
        <v>46104</v>
      </c>
      <c r="Q166" s="34" t="s">
        <v>455</v>
      </c>
      <c r="R166" s="18"/>
      <c r="S166" s="18">
        <v>29810</v>
      </c>
      <c r="T166" s="18" t="s">
        <v>336</v>
      </c>
      <c r="U166" s="33">
        <v>46124</v>
      </c>
    </row>
    <row r="167" spans="1:21" ht="15" customHeight="1">
      <c r="A167" s="48">
        <v>3</v>
      </c>
      <c r="B167" s="40">
        <v>46088</v>
      </c>
      <c r="C167" s="41" t="s">
        <v>240</v>
      </c>
      <c r="D167" s="41" t="s">
        <v>7</v>
      </c>
      <c r="E167" s="49" t="s">
        <v>115</v>
      </c>
      <c r="F167" s="41" t="s">
        <v>168</v>
      </c>
      <c r="G167" s="41" t="s">
        <v>241</v>
      </c>
      <c r="H167" s="41" t="s">
        <v>479</v>
      </c>
      <c r="I167" s="41" t="s">
        <v>47</v>
      </c>
      <c r="J167" s="46" t="str">
        <f>VLOOKUP(I167,'DESCRICAO PRODUTO'!$A:$C,2,0)</f>
        <v>CAIXA AMPLIFICADA CM-250 BIVOLT .</v>
      </c>
      <c r="K167" s="41" t="str">
        <f>VLOOKUP(I167,'DESCRICAO PRODUTO'!$A:$C,3,0)</f>
        <v>CM 250</v>
      </c>
      <c r="L167" s="50">
        <v>1</v>
      </c>
      <c r="M167" s="50">
        <v>1</v>
      </c>
      <c r="N167" s="51">
        <f t="shared" si="2"/>
        <v>0</v>
      </c>
      <c r="O167" s="40">
        <v>46153</v>
      </c>
      <c r="P167" s="40">
        <v>46168</v>
      </c>
      <c r="Q167" s="34" t="s">
        <v>455</v>
      </c>
      <c r="R167" s="18"/>
      <c r="S167" s="18">
        <v>30384</v>
      </c>
      <c r="T167" s="18" t="s">
        <v>473</v>
      </c>
      <c r="U167" s="33">
        <v>46189</v>
      </c>
    </row>
    <row r="168" spans="1:21" ht="15" customHeight="1">
      <c r="A168" s="48">
        <v>3</v>
      </c>
      <c r="B168" s="40">
        <v>46088</v>
      </c>
      <c r="C168" s="41" t="s">
        <v>240</v>
      </c>
      <c r="D168" s="41" t="s">
        <v>7</v>
      </c>
      <c r="E168" s="49" t="s">
        <v>194</v>
      </c>
      <c r="F168" s="41" t="s">
        <v>195</v>
      </c>
      <c r="G168" s="41" t="s">
        <v>241</v>
      </c>
      <c r="H168" s="41" t="s">
        <v>480</v>
      </c>
      <c r="I168" s="41" t="s">
        <v>47</v>
      </c>
      <c r="J168" s="46" t="str">
        <f>VLOOKUP(I168,'DESCRICAO PRODUTO'!$A:$C,2,0)</f>
        <v>CAIXA AMPLIFICADA CM-250 BIVOLT .</v>
      </c>
      <c r="K168" s="41" t="str">
        <f>VLOOKUP(I168,'DESCRICAO PRODUTO'!$A:$C,3,0)</f>
        <v>CM 250</v>
      </c>
      <c r="L168" s="50">
        <v>1</v>
      </c>
      <c r="M168" s="50">
        <v>1</v>
      </c>
      <c r="N168" s="51">
        <f t="shared" si="2"/>
        <v>0</v>
      </c>
      <c r="O168" s="40">
        <v>46100</v>
      </c>
      <c r="P168" s="40">
        <v>46104</v>
      </c>
      <c r="Q168" s="34" t="s">
        <v>455</v>
      </c>
      <c r="R168" s="18"/>
      <c r="S168" s="18">
        <v>29808</v>
      </c>
      <c r="T168" s="18" t="s">
        <v>336</v>
      </c>
      <c r="U168" s="33">
        <v>46124</v>
      </c>
    </row>
    <row r="169" spans="1:21" ht="15" customHeight="1">
      <c r="A169" s="48">
        <v>3</v>
      </c>
      <c r="B169" s="40">
        <v>46088</v>
      </c>
      <c r="C169" s="41" t="s">
        <v>240</v>
      </c>
      <c r="D169" s="41" t="s">
        <v>7</v>
      </c>
      <c r="E169" s="49" t="s">
        <v>231</v>
      </c>
      <c r="F169" s="41" t="s">
        <v>168</v>
      </c>
      <c r="G169" s="41" t="s">
        <v>241</v>
      </c>
      <c r="H169" s="41" t="s">
        <v>479</v>
      </c>
      <c r="I169" s="41" t="s">
        <v>48</v>
      </c>
      <c r="J169" s="46" t="str">
        <f>VLOOKUP(I169,'DESCRICAO PRODUTO'!$A:$C,2,0)</f>
        <v>CAIXA AMPLIFICADA CM-250 BIVOLT .</v>
      </c>
      <c r="K169" s="41" t="str">
        <f>VLOOKUP(I169,'DESCRICAO PRODUTO'!$A:$C,3,0)</f>
        <v>CM 250</v>
      </c>
      <c r="L169" s="50">
        <v>183</v>
      </c>
      <c r="M169" s="50">
        <v>183</v>
      </c>
      <c r="N169" s="51">
        <f t="shared" si="2"/>
        <v>0</v>
      </c>
      <c r="O169" s="40">
        <v>46100</v>
      </c>
      <c r="P169" s="40">
        <v>46104</v>
      </c>
      <c r="Q169" s="34" t="s">
        <v>455</v>
      </c>
      <c r="R169" s="18"/>
      <c r="S169" s="18">
        <v>29808</v>
      </c>
      <c r="T169" s="18" t="s">
        <v>336</v>
      </c>
      <c r="U169" s="33">
        <v>46124</v>
      </c>
    </row>
    <row r="170" spans="1:21" ht="15" customHeight="1">
      <c r="A170" s="48">
        <v>3</v>
      </c>
      <c r="B170" s="40">
        <v>46088</v>
      </c>
      <c r="C170" s="41" t="s">
        <v>240</v>
      </c>
      <c r="D170" s="41" t="s">
        <v>7</v>
      </c>
      <c r="E170" s="49" t="s">
        <v>194</v>
      </c>
      <c r="F170" s="41" t="s">
        <v>195</v>
      </c>
      <c r="G170" s="41" t="s">
        <v>241</v>
      </c>
      <c r="H170" s="41" t="s">
        <v>480</v>
      </c>
      <c r="I170" s="41" t="s">
        <v>48</v>
      </c>
      <c r="J170" s="46" t="str">
        <f>VLOOKUP(I170,'DESCRICAO PRODUTO'!$A:$C,2,0)</f>
        <v>CAIXA AMPLIFICADA CM-250 BIVOLT .</v>
      </c>
      <c r="K170" s="41" t="str">
        <f>VLOOKUP(I170,'DESCRICAO PRODUTO'!$A:$C,3,0)</f>
        <v>CM 250</v>
      </c>
      <c r="L170" s="50">
        <v>46</v>
      </c>
      <c r="M170" s="50">
        <v>46</v>
      </c>
      <c r="N170" s="51">
        <f t="shared" si="2"/>
        <v>0</v>
      </c>
      <c r="O170" s="40">
        <v>46100</v>
      </c>
      <c r="P170" s="40">
        <v>46104</v>
      </c>
      <c r="Q170" s="34" t="s">
        <v>455</v>
      </c>
      <c r="R170" s="18"/>
      <c r="S170" s="18">
        <v>29808</v>
      </c>
      <c r="T170" s="18" t="s">
        <v>336</v>
      </c>
      <c r="U170" s="33">
        <v>46124</v>
      </c>
    </row>
    <row r="171" spans="1:21" ht="15" customHeight="1">
      <c r="A171" s="48">
        <v>3</v>
      </c>
      <c r="B171" s="40">
        <v>46088</v>
      </c>
      <c r="C171" s="41" t="s">
        <v>240</v>
      </c>
      <c r="D171" s="41" t="s">
        <v>7</v>
      </c>
      <c r="E171" s="49" t="s">
        <v>113</v>
      </c>
      <c r="F171" s="41" t="s">
        <v>182</v>
      </c>
      <c r="G171" s="41" t="s">
        <v>241</v>
      </c>
      <c r="H171" s="41" t="s">
        <v>479</v>
      </c>
      <c r="I171" s="41" t="s">
        <v>43</v>
      </c>
      <c r="J171" s="46" t="str">
        <f>VLOOKUP(I171,'DESCRICAO PRODUTO'!$A:$C,2,0)</f>
        <v>CAIXA AMPLIFICADA CM-400 BIVOLT .</v>
      </c>
      <c r="K171" s="41" t="s">
        <v>492</v>
      </c>
      <c r="L171" s="50">
        <v>264</v>
      </c>
      <c r="M171" s="50">
        <v>264</v>
      </c>
      <c r="N171" s="51">
        <f t="shared" si="2"/>
        <v>0</v>
      </c>
      <c r="O171" s="40">
        <v>46100</v>
      </c>
      <c r="P171" s="40">
        <v>46107</v>
      </c>
      <c r="Q171" s="34" t="s">
        <v>455</v>
      </c>
      <c r="R171" s="18"/>
      <c r="S171" s="18">
        <v>29832</v>
      </c>
      <c r="T171" s="18" t="s">
        <v>337</v>
      </c>
      <c r="U171" s="33">
        <v>46127</v>
      </c>
    </row>
    <row r="172" spans="1:21" ht="15" customHeight="1">
      <c r="A172" s="48">
        <v>3</v>
      </c>
      <c r="B172" s="40">
        <v>46088</v>
      </c>
      <c r="C172" s="41" t="s">
        <v>240</v>
      </c>
      <c r="D172" s="41" t="s">
        <v>7</v>
      </c>
      <c r="E172" s="49" t="s">
        <v>229</v>
      </c>
      <c r="F172" s="41" t="s">
        <v>230</v>
      </c>
      <c r="G172" s="41" t="s">
        <v>241</v>
      </c>
      <c r="H172" s="41" t="s">
        <v>479</v>
      </c>
      <c r="I172" s="41" t="s">
        <v>200</v>
      </c>
      <c r="J172" s="46" t="str">
        <f>VLOOKUP(I172,'DESCRICAO PRODUTO'!$A:$C,2,0)</f>
        <v>CAIXA AMPLIFICADA CM-400-L BIVOLT .</v>
      </c>
      <c r="K172" s="41" t="str">
        <f>VLOOKUP(I172,'DESCRICAO PRODUTO'!$A:$C,3,0)</f>
        <v>CM 400L</v>
      </c>
      <c r="L172" s="50">
        <v>8</v>
      </c>
      <c r="M172" s="50">
        <v>8</v>
      </c>
      <c r="N172" s="51">
        <f t="shared" si="2"/>
        <v>0</v>
      </c>
      <c r="O172" s="40">
        <v>46100</v>
      </c>
      <c r="P172" s="40">
        <v>46108</v>
      </c>
      <c r="Q172" s="34" t="s">
        <v>455</v>
      </c>
      <c r="R172" s="18"/>
      <c r="S172" s="18">
        <v>29857</v>
      </c>
      <c r="T172" s="18" t="s">
        <v>341</v>
      </c>
      <c r="U172" s="33">
        <v>46128</v>
      </c>
    </row>
    <row r="173" spans="1:21" ht="15" customHeight="1">
      <c r="A173" s="48">
        <v>3</v>
      </c>
      <c r="B173" s="40">
        <v>46088</v>
      </c>
      <c r="C173" s="41" t="s">
        <v>240</v>
      </c>
      <c r="D173" s="41" t="s">
        <v>7</v>
      </c>
      <c r="E173" s="49" t="s">
        <v>331</v>
      </c>
      <c r="F173" s="41" t="s">
        <v>334</v>
      </c>
      <c r="G173" s="41" t="s">
        <v>241</v>
      </c>
      <c r="H173" s="41" t="s">
        <v>480</v>
      </c>
      <c r="I173" s="41" t="s">
        <v>200</v>
      </c>
      <c r="J173" s="46" t="str">
        <f>VLOOKUP(I173,'DESCRICAO PRODUTO'!$A:$C,2,0)</f>
        <v>CAIXA AMPLIFICADA CM-400-L BIVOLT .</v>
      </c>
      <c r="K173" s="41" t="str">
        <f>VLOOKUP(I173,'DESCRICAO PRODUTO'!$A:$C,3,0)</f>
        <v>CM 400L</v>
      </c>
      <c r="L173" s="50">
        <v>2</v>
      </c>
      <c r="M173" s="50">
        <v>2</v>
      </c>
      <c r="N173" s="51">
        <f t="shared" si="2"/>
        <v>0</v>
      </c>
      <c r="O173" s="40">
        <v>46100</v>
      </c>
      <c r="P173" s="40">
        <v>46108</v>
      </c>
      <c r="Q173" s="34" t="s">
        <v>455</v>
      </c>
      <c r="R173" s="18"/>
      <c r="S173" s="18">
        <v>29857</v>
      </c>
      <c r="T173" s="18" t="s">
        <v>341</v>
      </c>
      <c r="U173" s="33">
        <v>46128</v>
      </c>
    </row>
    <row r="174" spans="1:21" ht="15" customHeight="1">
      <c r="A174" s="48">
        <v>3</v>
      </c>
      <c r="B174" s="40">
        <v>46088</v>
      </c>
      <c r="C174" s="41" t="s">
        <v>240</v>
      </c>
      <c r="D174" s="41" t="s">
        <v>7</v>
      </c>
      <c r="E174" s="49" t="s">
        <v>229</v>
      </c>
      <c r="F174" s="41" t="s">
        <v>230</v>
      </c>
      <c r="G174" s="41" t="s">
        <v>241</v>
      </c>
      <c r="H174" s="41" t="s">
        <v>479</v>
      </c>
      <c r="I174" s="41" t="s">
        <v>85</v>
      </c>
      <c r="J174" s="46" t="str">
        <f>VLOOKUP(I174,'DESCRICAO PRODUTO'!$A:$C,2,0)</f>
        <v>CAIXA AMPLIFICADA CM-400-PL BIVOLT</v>
      </c>
      <c r="K174" s="41" t="str">
        <f>VLOOKUP(I174,'DESCRICAO PRODUTO'!$A:$C,3,0)</f>
        <v>CM 400 PL</v>
      </c>
      <c r="L174" s="50">
        <v>26</v>
      </c>
      <c r="M174" s="50">
        <v>26</v>
      </c>
      <c r="N174" s="51">
        <f t="shared" si="2"/>
        <v>0</v>
      </c>
      <c r="O174" s="40">
        <v>46100</v>
      </c>
      <c r="P174" s="40">
        <v>46122</v>
      </c>
      <c r="Q174" s="34" t="s">
        <v>455</v>
      </c>
      <c r="R174" s="18"/>
      <c r="S174" s="18">
        <v>29913</v>
      </c>
      <c r="T174" s="18" t="s">
        <v>452</v>
      </c>
      <c r="U174" s="33">
        <v>46146</v>
      </c>
    </row>
    <row r="175" spans="1:21" ht="15" customHeight="1">
      <c r="A175" s="48">
        <v>3</v>
      </c>
      <c r="B175" s="40">
        <v>46088</v>
      </c>
      <c r="C175" s="41" t="s">
        <v>240</v>
      </c>
      <c r="D175" s="41" t="s">
        <v>7</v>
      </c>
      <c r="E175" s="49" t="s">
        <v>114</v>
      </c>
      <c r="F175" s="41" t="s">
        <v>171</v>
      </c>
      <c r="G175" s="41" t="s">
        <v>241</v>
      </c>
      <c r="H175" s="41" t="s">
        <v>479</v>
      </c>
      <c r="I175" s="41" t="s">
        <v>44</v>
      </c>
      <c r="J175" s="46" t="str">
        <f>VLOOKUP(I175,'DESCRICAO PRODUTO'!$A:$C,2,0)</f>
        <v>CAIXA AMPLIFICADA CM-500 BIVOLT.</v>
      </c>
      <c r="K175" s="41" t="str">
        <f>VLOOKUP(I175,'DESCRICAO PRODUTO'!$A:$C,3,0)</f>
        <v>CM 500</v>
      </c>
      <c r="L175" s="50">
        <v>27</v>
      </c>
      <c r="M175" s="50"/>
      <c r="N175" s="51">
        <f t="shared" si="2"/>
        <v>-27</v>
      </c>
      <c r="O175" s="40" t="s">
        <v>472</v>
      </c>
      <c r="P175" s="40" t="s">
        <v>472</v>
      </c>
      <c r="Q175" s="34" t="s">
        <v>506</v>
      </c>
      <c r="R175" s="18"/>
      <c r="S175" s="18"/>
      <c r="T175" s="18"/>
      <c r="U175" s="33"/>
    </row>
    <row r="176" spans="1:21" ht="15" customHeight="1">
      <c r="A176" s="48">
        <v>3</v>
      </c>
      <c r="B176" s="40">
        <v>46088</v>
      </c>
      <c r="C176" s="41" t="s">
        <v>240</v>
      </c>
      <c r="D176" s="41" t="s">
        <v>7</v>
      </c>
      <c r="E176" s="49" t="s">
        <v>124</v>
      </c>
      <c r="F176" s="41" t="s">
        <v>39</v>
      </c>
      <c r="G176" s="41" t="s">
        <v>241</v>
      </c>
      <c r="H176" s="41" t="s">
        <v>479</v>
      </c>
      <c r="I176" s="41" t="s">
        <v>50</v>
      </c>
      <c r="J176" s="46" t="str">
        <f>VLOOKUP(I176,'DESCRICAO PRODUTO'!$A:$C,2,0)</f>
        <v>CAIXA AMPLIFICADA CM-550 BIVOLT .</v>
      </c>
      <c r="K176" s="41" t="str">
        <f>VLOOKUP(I176,'DESCRICAO PRODUTO'!$A:$C,3,0)</f>
        <v>CM 550</v>
      </c>
      <c r="L176" s="50">
        <v>1405</v>
      </c>
      <c r="M176" s="50">
        <v>1405</v>
      </c>
      <c r="N176" s="51">
        <f t="shared" si="2"/>
        <v>0</v>
      </c>
      <c r="O176" s="40">
        <v>46127</v>
      </c>
      <c r="P176" s="40">
        <v>46136</v>
      </c>
      <c r="Q176" s="34" t="s">
        <v>455</v>
      </c>
      <c r="R176" s="18"/>
      <c r="S176" s="18">
        <v>30030</v>
      </c>
      <c r="T176" s="18" t="s">
        <v>454</v>
      </c>
      <c r="U176" s="33">
        <v>46153</v>
      </c>
    </row>
    <row r="177" spans="1:21" ht="15" customHeight="1">
      <c r="A177" s="48">
        <v>3</v>
      </c>
      <c r="B177" s="40">
        <v>46088</v>
      </c>
      <c r="C177" s="41" t="s">
        <v>240</v>
      </c>
      <c r="D177" s="41" t="s">
        <v>7</v>
      </c>
      <c r="E177" s="49" t="s">
        <v>305</v>
      </c>
      <c r="F177" s="41" t="s">
        <v>39</v>
      </c>
      <c r="G177" s="41" t="s">
        <v>241</v>
      </c>
      <c r="H177" s="41" t="s">
        <v>479</v>
      </c>
      <c r="I177" s="41" t="s">
        <v>50</v>
      </c>
      <c r="J177" s="46" t="str">
        <f>VLOOKUP(I177,'DESCRICAO PRODUTO'!$A:$C,2,0)</f>
        <v>CAIXA AMPLIFICADA CM-550 BIVOLT .</v>
      </c>
      <c r="K177" s="41" t="str">
        <f>VLOOKUP(I177,'DESCRICAO PRODUTO'!$A:$C,3,0)</f>
        <v>CM 550</v>
      </c>
      <c r="L177" s="50">
        <v>176</v>
      </c>
      <c r="M177" s="50">
        <v>176</v>
      </c>
      <c r="N177" s="51">
        <f t="shared" si="2"/>
        <v>0</v>
      </c>
      <c r="O177" s="40">
        <v>46198</v>
      </c>
      <c r="P177" s="40">
        <v>46204</v>
      </c>
      <c r="Q177" s="34" t="s">
        <v>455</v>
      </c>
      <c r="R177" s="18"/>
      <c r="S177" s="18">
        <v>30873</v>
      </c>
      <c r="T177" s="18" t="s">
        <v>488</v>
      </c>
      <c r="U177" s="33">
        <v>46228</v>
      </c>
    </row>
    <row r="178" spans="1:21" ht="15" customHeight="1">
      <c r="A178" s="48">
        <v>3</v>
      </c>
      <c r="B178" s="40">
        <v>46088</v>
      </c>
      <c r="C178" s="41" t="s">
        <v>240</v>
      </c>
      <c r="D178" s="41" t="s">
        <v>7</v>
      </c>
      <c r="E178" s="49" t="s">
        <v>205</v>
      </c>
      <c r="F178" s="41" t="s">
        <v>206</v>
      </c>
      <c r="G178" s="41" t="s">
        <v>241</v>
      </c>
      <c r="H178" s="41" t="s">
        <v>479</v>
      </c>
      <c r="I178" s="41" t="s">
        <v>199</v>
      </c>
      <c r="J178" s="46" t="str">
        <f>VLOOKUP(I178,'DESCRICAO PRODUTO'!$A:$C,2,0)</f>
        <v>CAIXA AMPLIFICADA CM-550-L BIVOLT .</v>
      </c>
      <c r="K178" s="41" t="str">
        <f>VLOOKUP(I178,'DESCRICAO PRODUTO'!$A:$C,3,0)</f>
        <v>CM 550L</v>
      </c>
      <c r="L178" s="50">
        <v>83</v>
      </c>
      <c r="M178" s="50">
        <v>83</v>
      </c>
      <c r="N178" s="51">
        <f t="shared" si="2"/>
        <v>0</v>
      </c>
      <c r="O178" s="40">
        <v>46100</v>
      </c>
      <c r="P178" s="40">
        <v>46108</v>
      </c>
      <c r="Q178" s="34" t="s">
        <v>455</v>
      </c>
      <c r="R178" s="18"/>
      <c r="S178" s="18">
        <v>29857</v>
      </c>
      <c r="T178" s="18" t="s">
        <v>341</v>
      </c>
      <c r="U178" s="33">
        <v>46128</v>
      </c>
    </row>
    <row r="179" spans="1:21" ht="15" customHeight="1">
      <c r="A179" s="48">
        <v>3</v>
      </c>
      <c r="B179" s="40">
        <v>46088</v>
      </c>
      <c r="C179" s="41" t="s">
        <v>240</v>
      </c>
      <c r="D179" s="41" t="s">
        <v>7</v>
      </c>
      <c r="E179" s="49" t="s">
        <v>449</v>
      </c>
      <c r="F179" s="41" t="s">
        <v>451</v>
      </c>
      <c r="G179" s="41" t="s">
        <v>233</v>
      </c>
      <c r="H179" s="41" t="s">
        <v>481</v>
      </c>
      <c r="I179" s="41" t="s">
        <v>23</v>
      </c>
      <c r="J179" s="46" t="str">
        <f>VLOOKUP(I179,'DESCRICAO PRODUTO'!$A:$C,2,0)</f>
        <v>CAIXA AMPLIFICADA CM-700 BIVOLT .</v>
      </c>
      <c r="K179" s="41" t="str">
        <f>VLOOKUP(I179,'DESCRICAO PRODUTO'!$A:$C,3,0)</f>
        <v>CM 700</v>
      </c>
      <c r="L179" s="50">
        <v>60</v>
      </c>
      <c r="M179" s="50"/>
      <c r="N179" s="51">
        <f t="shared" si="2"/>
        <v>-60</v>
      </c>
      <c r="O179" s="40"/>
      <c r="P179" s="40"/>
      <c r="Q179" s="34" t="s">
        <v>4</v>
      </c>
      <c r="R179" s="18" t="s">
        <v>549</v>
      </c>
      <c r="S179" s="18"/>
      <c r="T179" s="18"/>
      <c r="U179" s="33"/>
    </row>
    <row r="180" spans="1:21" ht="15" customHeight="1">
      <c r="A180" s="48">
        <v>3</v>
      </c>
      <c r="B180" s="40">
        <v>46088</v>
      </c>
      <c r="C180" s="41" t="s">
        <v>240</v>
      </c>
      <c r="D180" s="41" t="s">
        <v>7</v>
      </c>
      <c r="E180" s="49" t="s">
        <v>31</v>
      </c>
      <c r="F180" s="41" t="s">
        <v>32</v>
      </c>
      <c r="G180" s="41" t="s">
        <v>241</v>
      </c>
      <c r="H180" s="41" t="s">
        <v>479</v>
      </c>
      <c r="I180" s="41" t="s">
        <v>23</v>
      </c>
      <c r="J180" s="46" t="str">
        <f>VLOOKUP(I180,'DESCRICAO PRODUTO'!$A:$C,2,0)</f>
        <v>CAIXA AMPLIFICADA CM-700 BIVOLT .</v>
      </c>
      <c r="K180" s="41" t="str">
        <f>VLOOKUP(I180,'DESCRICAO PRODUTO'!$A:$C,3,0)</f>
        <v>CM 700</v>
      </c>
      <c r="L180" s="50">
        <v>60</v>
      </c>
      <c r="M180" s="50"/>
      <c r="N180" s="51">
        <f t="shared" si="2"/>
        <v>-60</v>
      </c>
      <c r="O180" s="40"/>
      <c r="P180" s="40"/>
      <c r="Q180" s="34" t="s">
        <v>4</v>
      </c>
      <c r="R180" s="18" t="s">
        <v>549</v>
      </c>
      <c r="S180" s="18"/>
      <c r="T180" s="18"/>
      <c r="U180" s="33"/>
    </row>
    <row r="181" spans="1:21" ht="15" customHeight="1">
      <c r="A181" s="48">
        <v>3</v>
      </c>
      <c r="B181" s="40">
        <v>46088</v>
      </c>
      <c r="C181" s="41" t="s">
        <v>240</v>
      </c>
      <c r="D181" s="41" t="s">
        <v>7</v>
      </c>
      <c r="E181" s="49" t="s">
        <v>144</v>
      </c>
      <c r="F181" s="41" t="s">
        <v>238</v>
      </c>
      <c r="G181" s="41" t="s">
        <v>233</v>
      </c>
      <c r="H181" s="41" t="s">
        <v>482</v>
      </c>
      <c r="I181" s="41" t="s">
        <v>72</v>
      </c>
      <c r="J181" s="46" t="str">
        <f>VLOOKUP(I181,'DESCRICAO PRODUTO'!$A:$C,2,0)</f>
        <v>MICRO-ONDAS MO-01-21-B 127V/60HZ</v>
      </c>
      <c r="K181" s="41" t="str">
        <f>VLOOKUP(I181,'DESCRICAO PRODUTO'!$A:$C,3,0)</f>
        <v>MO 21L</v>
      </c>
      <c r="L181" s="50">
        <v>47</v>
      </c>
      <c r="M181" s="50">
        <v>47</v>
      </c>
      <c r="N181" s="51">
        <f t="shared" si="2"/>
        <v>0</v>
      </c>
      <c r="O181" s="40">
        <v>46126</v>
      </c>
      <c r="P181" s="40">
        <v>46168</v>
      </c>
      <c r="Q181" s="34" t="s">
        <v>455</v>
      </c>
      <c r="R181" s="18"/>
      <c r="S181" s="18">
        <v>30398</v>
      </c>
      <c r="T181" s="18" t="s">
        <v>473</v>
      </c>
      <c r="U181" s="33">
        <v>46192</v>
      </c>
    </row>
    <row r="182" spans="1:21" ht="15" customHeight="1">
      <c r="A182" s="48">
        <v>3</v>
      </c>
      <c r="B182" s="40">
        <v>46088</v>
      </c>
      <c r="C182" s="41" t="s">
        <v>240</v>
      </c>
      <c r="D182" s="41" t="s">
        <v>7</v>
      </c>
      <c r="E182" s="49" t="s">
        <v>143</v>
      </c>
      <c r="F182" s="41" t="s">
        <v>237</v>
      </c>
      <c r="G182" s="52" t="s">
        <v>233</v>
      </c>
      <c r="H182" s="41" t="s">
        <v>482</v>
      </c>
      <c r="I182" s="41" t="s">
        <v>72</v>
      </c>
      <c r="J182" s="46" t="str">
        <f>VLOOKUP(I182,'DESCRICAO PRODUTO'!$A:$C,2,0)</f>
        <v>MICRO-ONDAS MO-01-21-B 127V/60HZ</v>
      </c>
      <c r="K182" s="41" t="str">
        <f>VLOOKUP(I182,'DESCRICAO PRODUTO'!$A:$C,3,0)</f>
        <v>MO 21L</v>
      </c>
      <c r="L182" s="50">
        <v>47</v>
      </c>
      <c r="M182" s="50">
        <v>47</v>
      </c>
      <c r="N182" s="51">
        <f t="shared" si="2"/>
        <v>0</v>
      </c>
      <c r="O182" s="40">
        <v>46126</v>
      </c>
      <c r="P182" s="40">
        <v>46168</v>
      </c>
      <c r="Q182" s="34" t="s">
        <v>455</v>
      </c>
      <c r="R182" s="18"/>
      <c r="S182" s="18">
        <v>30398</v>
      </c>
      <c r="T182" s="18" t="s">
        <v>473</v>
      </c>
      <c r="U182" s="33">
        <v>46192</v>
      </c>
    </row>
    <row r="183" spans="1:21" ht="15" customHeight="1">
      <c r="A183" s="48">
        <v>3</v>
      </c>
      <c r="B183" s="40">
        <v>46088</v>
      </c>
      <c r="C183" s="41" t="s">
        <v>240</v>
      </c>
      <c r="D183" s="41" t="s">
        <v>7</v>
      </c>
      <c r="E183" s="49" t="s">
        <v>311</v>
      </c>
      <c r="F183" s="41" t="s">
        <v>146</v>
      </c>
      <c r="G183" s="52" t="s">
        <v>233</v>
      </c>
      <c r="H183" s="41" t="s">
        <v>481</v>
      </c>
      <c r="I183" s="41" t="s">
        <v>72</v>
      </c>
      <c r="J183" s="46" t="str">
        <f>VLOOKUP(I183,'DESCRICAO PRODUTO'!$A:$C,2,0)</f>
        <v>MICRO-ONDAS MO-01-21-B 127V/60HZ</v>
      </c>
      <c r="K183" s="41" t="str">
        <f>VLOOKUP(I183,'DESCRICAO PRODUTO'!$A:$C,3,0)</f>
        <v>MO 21L</v>
      </c>
      <c r="L183" s="50">
        <v>47</v>
      </c>
      <c r="M183" s="50">
        <v>47</v>
      </c>
      <c r="N183" s="51">
        <f t="shared" si="2"/>
        <v>0</v>
      </c>
      <c r="O183" s="40">
        <v>46100</v>
      </c>
      <c r="P183" s="40">
        <v>46108</v>
      </c>
      <c r="Q183" s="34" t="s">
        <v>455</v>
      </c>
      <c r="R183" s="18"/>
      <c r="S183" s="18">
        <v>29857</v>
      </c>
      <c r="T183" s="18" t="s">
        <v>341</v>
      </c>
      <c r="U183" s="33">
        <v>46128</v>
      </c>
    </row>
    <row r="184" spans="1:21" ht="15" customHeight="1">
      <c r="A184" s="48">
        <v>3</v>
      </c>
      <c r="B184" s="40">
        <v>46088</v>
      </c>
      <c r="C184" s="41" t="s">
        <v>240</v>
      </c>
      <c r="D184" s="41" t="s">
        <v>7</v>
      </c>
      <c r="E184" s="49" t="s">
        <v>144</v>
      </c>
      <c r="F184" s="41" t="s">
        <v>238</v>
      </c>
      <c r="G184" s="52" t="s">
        <v>233</v>
      </c>
      <c r="H184" s="41" t="s">
        <v>482</v>
      </c>
      <c r="I184" s="41" t="s">
        <v>28</v>
      </c>
      <c r="J184" s="46" t="str">
        <f>VLOOKUP(I184,'DESCRICAO PRODUTO'!$A:$C,2,0)</f>
        <v>MICRO-ONDAS MO-01-21-B 220V/60HZ .</v>
      </c>
      <c r="K184" s="41" t="str">
        <f>VLOOKUP(I184,'DESCRICAO PRODUTO'!$A:$C,3,0)</f>
        <v>MO 21L</v>
      </c>
      <c r="L184" s="50">
        <v>148</v>
      </c>
      <c r="M184" s="50">
        <v>148</v>
      </c>
      <c r="N184" s="51">
        <f t="shared" si="2"/>
        <v>0</v>
      </c>
      <c r="O184" s="40">
        <v>46126</v>
      </c>
      <c r="P184" s="40">
        <v>46168</v>
      </c>
      <c r="Q184" s="34" t="s">
        <v>455</v>
      </c>
      <c r="R184" s="18"/>
      <c r="S184" s="18">
        <v>30398</v>
      </c>
      <c r="T184" s="18" t="s">
        <v>473</v>
      </c>
      <c r="U184" s="33">
        <v>46192</v>
      </c>
    </row>
    <row r="185" spans="1:21" ht="15" customHeight="1">
      <c r="A185" s="48">
        <v>3</v>
      </c>
      <c r="B185" s="40">
        <v>46088</v>
      </c>
      <c r="C185" s="41" t="s">
        <v>240</v>
      </c>
      <c r="D185" s="41" t="s">
        <v>7</v>
      </c>
      <c r="E185" s="49" t="s">
        <v>143</v>
      </c>
      <c r="F185" s="41" t="s">
        <v>237</v>
      </c>
      <c r="G185" s="52" t="s">
        <v>233</v>
      </c>
      <c r="H185" s="41" t="s">
        <v>482</v>
      </c>
      <c r="I185" s="41" t="s">
        <v>28</v>
      </c>
      <c r="J185" s="46" t="str">
        <f>VLOOKUP(I185,'DESCRICAO PRODUTO'!$A:$C,2,0)</f>
        <v>MICRO-ONDAS MO-01-21-B 220V/60HZ .</v>
      </c>
      <c r="K185" s="41" t="str">
        <f>VLOOKUP(I185,'DESCRICAO PRODUTO'!$A:$C,3,0)</f>
        <v>MO 21L</v>
      </c>
      <c r="L185" s="50">
        <v>148</v>
      </c>
      <c r="M185" s="50">
        <v>148</v>
      </c>
      <c r="N185" s="51">
        <f t="shared" si="2"/>
        <v>0</v>
      </c>
      <c r="O185" s="40">
        <v>46126</v>
      </c>
      <c r="P185" s="40">
        <v>46168</v>
      </c>
      <c r="Q185" s="34" t="s">
        <v>455</v>
      </c>
      <c r="R185" s="18"/>
      <c r="S185" s="18">
        <v>30398</v>
      </c>
      <c r="T185" s="18" t="s">
        <v>473</v>
      </c>
      <c r="U185" s="33">
        <v>46192</v>
      </c>
    </row>
    <row r="186" spans="1:21" ht="15" customHeight="1">
      <c r="A186" s="48">
        <v>3</v>
      </c>
      <c r="B186" s="40">
        <v>46088</v>
      </c>
      <c r="C186" s="41" t="s">
        <v>240</v>
      </c>
      <c r="D186" s="41" t="s">
        <v>7</v>
      </c>
      <c r="E186" s="49" t="s">
        <v>311</v>
      </c>
      <c r="F186" s="41" t="s">
        <v>146</v>
      </c>
      <c r="G186" s="52" t="s">
        <v>233</v>
      </c>
      <c r="H186" s="41" t="s">
        <v>481</v>
      </c>
      <c r="I186" s="41" t="s">
        <v>28</v>
      </c>
      <c r="J186" s="46" t="str">
        <f>VLOOKUP(I186,'DESCRICAO PRODUTO'!$A:$C,2,0)</f>
        <v>MICRO-ONDAS MO-01-21-B 220V/60HZ .</v>
      </c>
      <c r="K186" s="41" t="str">
        <f>VLOOKUP(I186,'DESCRICAO PRODUTO'!$A:$C,3,0)</f>
        <v>MO 21L</v>
      </c>
      <c r="L186" s="50">
        <v>148</v>
      </c>
      <c r="M186" s="50">
        <v>148</v>
      </c>
      <c r="N186" s="51">
        <f t="shared" si="2"/>
        <v>0</v>
      </c>
      <c r="O186" s="40">
        <v>46100</v>
      </c>
      <c r="P186" s="40">
        <v>46108</v>
      </c>
      <c r="Q186" s="34" t="s">
        <v>455</v>
      </c>
      <c r="R186" s="18"/>
      <c r="S186" s="18">
        <v>29857</v>
      </c>
      <c r="T186" s="18" t="s">
        <v>341</v>
      </c>
      <c r="U186" s="33">
        <v>46128</v>
      </c>
    </row>
    <row r="187" spans="1:21" ht="15" customHeight="1">
      <c r="A187" s="48">
        <v>3</v>
      </c>
      <c r="B187" s="40">
        <v>46088</v>
      </c>
      <c r="C187" s="41" t="s">
        <v>240</v>
      </c>
      <c r="D187" s="41" t="s">
        <v>7</v>
      </c>
      <c r="E187" s="49" t="s">
        <v>144</v>
      </c>
      <c r="F187" s="41" t="s">
        <v>238</v>
      </c>
      <c r="G187" s="52" t="s">
        <v>233</v>
      </c>
      <c r="H187" s="41" t="s">
        <v>482</v>
      </c>
      <c r="I187" s="41" t="s">
        <v>82</v>
      </c>
      <c r="J187" s="46" t="str">
        <f>VLOOKUP(I187,'DESCRICAO PRODUTO'!$A:$C,2,0)</f>
        <v>MICRO-ONDAS MO-01-21-E 127V/60HZ</v>
      </c>
      <c r="K187" s="41" t="str">
        <f>VLOOKUP(I187,'DESCRICAO PRODUTO'!$A:$C,3,0)</f>
        <v>MO 21L</v>
      </c>
      <c r="L187" s="50">
        <v>14</v>
      </c>
      <c r="M187" s="50">
        <v>14</v>
      </c>
      <c r="N187" s="51">
        <f t="shared" si="2"/>
        <v>0</v>
      </c>
      <c r="O187" s="40">
        <v>46126</v>
      </c>
      <c r="P187" s="40">
        <v>46168</v>
      </c>
      <c r="Q187" s="34" t="s">
        <v>455</v>
      </c>
      <c r="R187" s="18"/>
      <c r="S187" s="18">
        <v>30398</v>
      </c>
      <c r="T187" s="18" t="s">
        <v>473</v>
      </c>
      <c r="U187" s="33">
        <v>46192</v>
      </c>
    </row>
    <row r="188" spans="1:21" ht="15" customHeight="1">
      <c r="A188" s="48">
        <v>3</v>
      </c>
      <c r="B188" s="40">
        <v>46088</v>
      </c>
      <c r="C188" s="41" t="s">
        <v>240</v>
      </c>
      <c r="D188" s="41" t="s">
        <v>7</v>
      </c>
      <c r="E188" s="49" t="s">
        <v>143</v>
      </c>
      <c r="F188" s="41" t="s">
        <v>237</v>
      </c>
      <c r="G188" s="52" t="s">
        <v>233</v>
      </c>
      <c r="H188" s="41" t="s">
        <v>482</v>
      </c>
      <c r="I188" s="41" t="s">
        <v>82</v>
      </c>
      <c r="J188" s="46" t="str">
        <f>VLOOKUP(I188,'DESCRICAO PRODUTO'!$A:$C,2,0)</f>
        <v>MICRO-ONDAS MO-01-21-E 127V/60HZ</v>
      </c>
      <c r="K188" s="41" t="str">
        <f>VLOOKUP(I188,'DESCRICAO PRODUTO'!$A:$C,3,0)</f>
        <v>MO 21L</v>
      </c>
      <c r="L188" s="50">
        <v>14</v>
      </c>
      <c r="M188" s="50">
        <v>14</v>
      </c>
      <c r="N188" s="51">
        <f t="shared" si="2"/>
        <v>0</v>
      </c>
      <c r="O188" s="40">
        <v>46126</v>
      </c>
      <c r="P188" s="40">
        <v>46168</v>
      </c>
      <c r="Q188" s="34" t="s">
        <v>455</v>
      </c>
      <c r="R188" s="18"/>
      <c r="S188" s="18">
        <v>30398</v>
      </c>
      <c r="T188" s="18" t="s">
        <v>473</v>
      </c>
      <c r="U188" s="33">
        <v>46192</v>
      </c>
    </row>
    <row r="189" spans="1:21" ht="15" customHeight="1">
      <c r="A189" s="48">
        <v>3</v>
      </c>
      <c r="B189" s="40">
        <v>46088</v>
      </c>
      <c r="C189" s="41" t="s">
        <v>240</v>
      </c>
      <c r="D189" s="41" t="s">
        <v>7</v>
      </c>
      <c r="E189" s="49" t="s">
        <v>156</v>
      </c>
      <c r="F189" s="41" t="s">
        <v>191</v>
      </c>
      <c r="G189" s="52" t="s">
        <v>233</v>
      </c>
      <c r="H189" s="41" t="s">
        <v>481</v>
      </c>
      <c r="I189" s="41" t="s">
        <v>82</v>
      </c>
      <c r="J189" s="46" t="str">
        <f>VLOOKUP(I189,'DESCRICAO PRODUTO'!$A:$C,2,0)</f>
        <v>MICRO-ONDAS MO-01-21-E 127V/60HZ</v>
      </c>
      <c r="K189" s="41" t="str">
        <f>VLOOKUP(I189,'DESCRICAO PRODUTO'!$A:$C,3,0)</f>
        <v>MO 21L</v>
      </c>
      <c r="L189" s="50">
        <v>14</v>
      </c>
      <c r="M189" s="50">
        <v>14</v>
      </c>
      <c r="N189" s="51">
        <f t="shared" si="2"/>
        <v>0</v>
      </c>
      <c r="O189" s="40">
        <v>46100</v>
      </c>
      <c r="P189" s="40">
        <v>46108</v>
      </c>
      <c r="Q189" s="34" t="s">
        <v>455</v>
      </c>
      <c r="R189" s="18"/>
      <c r="S189" s="18">
        <v>29867</v>
      </c>
      <c r="T189" s="18" t="s">
        <v>341</v>
      </c>
      <c r="U189" s="33">
        <v>46128</v>
      </c>
    </row>
    <row r="190" spans="1:21" ht="15" customHeight="1">
      <c r="A190" s="48">
        <v>3</v>
      </c>
      <c r="B190" s="40">
        <v>46088</v>
      </c>
      <c r="C190" s="41" t="s">
        <v>240</v>
      </c>
      <c r="D190" s="41" t="s">
        <v>7</v>
      </c>
      <c r="E190" s="49" t="s">
        <v>144</v>
      </c>
      <c r="F190" s="41" t="s">
        <v>238</v>
      </c>
      <c r="G190" s="52" t="s">
        <v>233</v>
      </c>
      <c r="H190" s="41" t="s">
        <v>482</v>
      </c>
      <c r="I190" s="41" t="s">
        <v>222</v>
      </c>
      <c r="J190" s="46" t="str">
        <f>VLOOKUP(I190,'DESCRICAO PRODUTO'!$A:$C,2,0)</f>
        <v>MICRO-ONDAS MO-01-21-E 220V/60HZ</v>
      </c>
      <c r="K190" s="41" t="str">
        <f>VLOOKUP(I190,'DESCRICAO PRODUTO'!$A:$C,3,0)</f>
        <v>MO 21L</v>
      </c>
      <c r="L190" s="50">
        <v>14</v>
      </c>
      <c r="M190" s="50">
        <v>14</v>
      </c>
      <c r="N190" s="51">
        <f t="shared" si="2"/>
        <v>0</v>
      </c>
      <c r="O190" s="40">
        <v>46126</v>
      </c>
      <c r="P190" s="40">
        <v>46168</v>
      </c>
      <c r="Q190" s="34" t="s">
        <v>455</v>
      </c>
      <c r="R190" s="18"/>
      <c r="S190" s="18">
        <v>30398</v>
      </c>
      <c r="T190" s="18" t="s">
        <v>473</v>
      </c>
      <c r="U190" s="33">
        <v>46192</v>
      </c>
    </row>
    <row r="191" spans="1:21" ht="15" customHeight="1">
      <c r="A191" s="48">
        <v>3</v>
      </c>
      <c r="B191" s="40">
        <v>46088</v>
      </c>
      <c r="C191" s="41" t="s">
        <v>240</v>
      </c>
      <c r="D191" s="41" t="s">
        <v>7</v>
      </c>
      <c r="E191" s="49" t="s">
        <v>143</v>
      </c>
      <c r="F191" s="41" t="s">
        <v>237</v>
      </c>
      <c r="G191" s="52" t="s">
        <v>233</v>
      </c>
      <c r="H191" s="41" t="s">
        <v>482</v>
      </c>
      <c r="I191" s="41" t="s">
        <v>222</v>
      </c>
      <c r="J191" s="46" t="str">
        <f>VLOOKUP(I191,'DESCRICAO PRODUTO'!$A:$C,2,0)</f>
        <v>MICRO-ONDAS MO-01-21-E 220V/60HZ</v>
      </c>
      <c r="K191" s="41" t="str">
        <f>VLOOKUP(I191,'DESCRICAO PRODUTO'!$A:$C,3,0)</f>
        <v>MO 21L</v>
      </c>
      <c r="L191" s="50">
        <v>14</v>
      </c>
      <c r="M191" s="50">
        <v>14</v>
      </c>
      <c r="N191" s="51">
        <f t="shared" si="2"/>
        <v>0</v>
      </c>
      <c r="O191" s="40">
        <v>46126</v>
      </c>
      <c r="P191" s="40">
        <v>46168</v>
      </c>
      <c r="Q191" s="34" t="s">
        <v>455</v>
      </c>
      <c r="R191" s="18"/>
      <c r="S191" s="18">
        <v>30398</v>
      </c>
      <c r="T191" s="18" t="s">
        <v>473</v>
      </c>
      <c r="U191" s="33">
        <v>46192</v>
      </c>
    </row>
    <row r="192" spans="1:21" ht="15" customHeight="1">
      <c r="A192" s="48">
        <v>3</v>
      </c>
      <c r="B192" s="40">
        <v>46088</v>
      </c>
      <c r="C192" s="41" t="s">
        <v>240</v>
      </c>
      <c r="D192" s="41" t="s">
        <v>7</v>
      </c>
      <c r="E192" s="49" t="s">
        <v>156</v>
      </c>
      <c r="F192" s="41" t="s">
        <v>191</v>
      </c>
      <c r="G192" s="52" t="s">
        <v>233</v>
      </c>
      <c r="H192" s="41" t="s">
        <v>481</v>
      </c>
      <c r="I192" s="41" t="s">
        <v>222</v>
      </c>
      <c r="J192" s="46" t="str">
        <f>VLOOKUP(I192,'DESCRICAO PRODUTO'!$A:$C,2,0)</f>
        <v>MICRO-ONDAS MO-01-21-E 220V/60HZ</v>
      </c>
      <c r="K192" s="41" t="str">
        <f>VLOOKUP(I192,'DESCRICAO PRODUTO'!$A:$C,3,0)</f>
        <v>MO 21L</v>
      </c>
      <c r="L192" s="50">
        <v>14</v>
      </c>
      <c r="M192" s="50">
        <v>14</v>
      </c>
      <c r="N192" s="51">
        <f t="shared" si="2"/>
        <v>0</v>
      </c>
      <c r="O192" s="40">
        <v>46100</v>
      </c>
      <c r="P192" s="40">
        <v>46108</v>
      </c>
      <c r="Q192" s="34" t="s">
        <v>455</v>
      </c>
      <c r="R192" s="18"/>
      <c r="S192" s="18">
        <v>29867</v>
      </c>
      <c r="T192" s="18" t="s">
        <v>341</v>
      </c>
      <c r="U192" s="33">
        <v>46128</v>
      </c>
    </row>
    <row r="193" spans="1:29" ht="15" customHeight="1">
      <c r="A193" s="48">
        <v>3</v>
      </c>
      <c r="B193" s="40">
        <v>46088</v>
      </c>
      <c r="C193" s="41" t="s">
        <v>240</v>
      </c>
      <c r="D193" s="41" t="s">
        <v>7</v>
      </c>
      <c r="E193" s="49" t="s">
        <v>144</v>
      </c>
      <c r="F193" s="41" t="s">
        <v>238</v>
      </c>
      <c r="G193" s="52" t="s">
        <v>233</v>
      </c>
      <c r="H193" s="41" t="s">
        <v>482</v>
      </c>
      <c r="I193" s="41" t="s">
        <v>75</v>
      </c>
      <c r="J193" s="46" t="str">
        <f>VLOOKUP(I193,'DESCRICAO PRODUTO'!$A:$C,2,0)</f>
        <v>MICRO-ONDAS MO-01-21-W 127V/60HZ .</v>
      </c>
      <c r="K193" s="41" t="str">
        <f>VLOOKUP(I193,'DESCRICAO PRODUTO'!$A:$C,3,0)</f>
        <v>MO 21L</v>
      </c>
      <c r="L193" s="50">
        <v>6</v>
      </c>
      <c r="M193" s="50">
        <v>6</v>
      </c>
      <c r="N193" s="51">
        <f t="shared" si="2"/>
        <v>0</v>
      </c>
      <c r="O193" s="40">
        <v>46126</v>
      </c>
      <c r="P193" s="40">
        <v>46168</v>
      </c>
      <c r="Q193" s="34" t="s">
        <v>455</v>
      </c>
      <c r="R193" s="18"/>
      <c r="S193" s="18">
        <v>30398</v>
      </c>
      <c r="T193" s="18" t="s">
        <v>473</v>
      </c>
      <c r="U193" s="33">
        <v>46192</v>
      </c>
    </row>
    <row r="194" spans="1:29" ht="15" customHeight="1">
      <c r="A194" s="48">
        <v>3</v>
      </c>
      <c r="B194" s="40">
        <v>46088</v>
      </c>
      <c r="C194" s="41" t="s">
        <v>240</v>
      </c>
      <c r="D194" s="41" t="s">
        <v>7</v>
      </c>
      <c r="E194" s="49" t="s">
        <v>143</v>
      </c>
      <c r="F194" s="41" t="s">
        <v>237</v>
      </c>
      <c r="G194" s="52" t="s">
        <v>233</v>
      </c>
      <c r="H194" s="41" t="s">
        <v>482</v>
      </c>
      <c r="I194" s="41" t="s">
        <v>75</v>
      </c>
      <c r="J194" s="46" t="str">
        <f>VLOOKUP(I194,'DESCRICAO PRODUTO'!$A:$C,2,0)</f>
        <v>MICRO-ONDAS MO-01-21-W 127V/60HZ .</v>
      </c>
      <c r="K194" s="41" t="str">
        <f>VLOOKUP(I194,'DESCRICAO PRODUTO'!$A:$C,3,0)</f>
        <v>MO 21L</v>
      </c>
      <c r="L194" s="50">
        <v>6</v>
      </c>
      <c r="M194" s="50">
        <v>6</v>
      </c>
      <c r="N194" s="51">
        <f t="shared" ref="N194:N257" si="3">M194-L194</f>
        <v>0</v>
      </c>
      <c r="O194" s="40">
        <v>46126</v>
      </c>
      <c r="P194" s="40">
        <v>46168</v>
      </c>
      <c r="Q194" s="34" t="s">
        <v>455</v>
      </c>
      <c r="R194" s="18"/>
      <c r="S194" s="18">
        <v>30398</v>
      </c>
      <c r="T194" s="18" t="s">
        <v>473</v>
      </c>
      <c r="U194" s="33">
        <v>46192</v>
      </c>
    </row>
    <row r="195" spans="1:29" ht="15" customHeight="1">
      <c r="A195" s="48">
        <v>3</v>
      </c>
      <c r="B195" s="40">
        <v>46088</v>
      </c>
      <c r="C195" s="41" t="s">
        <v>240</v>
      </c>
      <c r="D195" s="41" t="s">
        <v>7</v>
      </c>
      <c r="E195" s="49" t="s">
        <v>312</v>
      </c>
      <c r="F195" s="41" t="s">
        <v>325</v>
      </c>
      <c r="G195" s="52" t="s">
        <v>233</v>
      </c>
      <c r="H195" s="41" t="s">
        <v>481</v>
      </c>
      <c r="I195" s="41" t="s">
        <v>75</v>
      </c>
      <c r="J195" s="46" t="str">
        <f>VLOOKUP(I195,'DESCRICAO PRODUTO'!$A:$C,2,0)</f>
        <v>MICRO-ONDAS MO-01-21-W 127V/60HZ .</v>
      </c>
      <c r="K195" s="41" t="str">
        <f>VLOOKUP(I195,'DESCRICAO PRODUTO'!$A:$C,3,0)</f>
        <v>MO 21L</v>
      </c>
      <c r="L195" s="50">
        <v>6</v>
      </c>
      <c r="M195" s="50">
        <v>6</v>
      </c>
      <c r="N195" s="51">
        <f t="shared" si="3"/>
        <v>0</v>
      </c>
      <c r="O195" s="40">
        <v>46100</v>
      </c>
      <c r="P195" s="40">
        <v>46108</v>
      </c>
      <c r="Q195" s="34" t="s">
        <v>455</v>
      </c>
      <c r="R195" s="18"/>
      <c r="S195" s="18">
        <v>29857</v>
      </c>
      <c r="T195" s="18" t="s">
        <v>341</v>
      </c>
      <c r="U195" s="33">
        <v>46128</v>
      </c>
    </row>
    <row r="196" spans="1:29" ht="15" customHeight="1">
      <c r="A196" s="48">
        <v>3</v>
      </c>
      <c r="B196" s="40">
        <v>46088</v>
      </c>
      <c r="C196" s="41" t="s">
        <v>240</v>
      </c>
      <c r="D196" s="41" t="s">
        <v>7</v>
      </c>
      <c r="E196" s="49" t="s">
        <v>144</v>
      </c>
      <c r="F196" s="41" t="s">
        <v>238</v>
      </c>
      <c r="G196" s="52" t="s">
        <v>233</v>
      </c>
      <c r="H196" s="41" t="s">
        <v>482</v>
      </c>
      <c r="I196" s="41" t="s">
        <v>223</v>
      </c>
      <c r="J196" s="46" t="str">
        <f>VLOOKUP(I196,'DESCRICAO PRODUTO'!$A:$C,2,0)</f>
        <v>MICRO-ONDAS MO-01-21-W 220V/60HZ</v>
      </c>
      <c r="K196" s="41" t="str">
        <f>VLOOKUP(I196,'DESCRICAO PRODUTO'!$A:$C,3,0)</f>
        <v>MO 21L</v>
      </c>
      <c r="L196" s="50">
        <v>69</v>
      </c>
      <c r="M196" s="50">
        <v>69</v>
      </c>
      <c r="N196" s="51">
        <f t="shared" si="3"/>
        <v>0</v>
      </c>
      <c r="O196" s="40">
        <v>46126</v>
      </c>
      <c r="P196" s="40">
        <v>46168</v>
      </c>
      <c r="Q196" s="34" t="s">
        <v>455</v>
      </c>
      <c r="R196" s="18"/>
      <c r="S196" s="18">
        <v>30398</v>
      </c>
      <c r="T196" s="18" t="s">
        <v>473</v>
      </c>
      <c r="U196" s="33">
        <v>46192</v>
      </c>
    </row>
    <row r="197" spans="1:29" ht="15" customHeight="1">
      <c r="A197" s="48">
        <v>3</v>
      </c>
      <c r="B197" s="40">
        <v>46088</v>
      </c>
      <c r="C197" s="41" t="s">
        <v>240</v>
      </c>
      <c r="D197" s="41" t="s">
        <v>7</v>
      </c>
      <c r="E197" s="49" t="s">
        <v>143</v>
      </c>
      <c r="F197" s="41" t="s">
        <v>237</v>
      </c>
      <c r="G197" s="52" t="s">
        <v>233</v>
      </c>
      <c r="H197" s="41" t="s">
        <v>482</v>
      </c>
      <c r="I197" s="41" t="s">
        <v>223</v>
      </c>
      <c r="J197" s="46" t="str">
        <f>VLOOKUP(I197,'DESCRICAO PRODUTO'!$A:$C,2,0)</f>
        <v>MICRO-ONDAS MO-01-21-W 220V/60HZ</v>
      </c>
      <c r="K197" s="41" t="str">
        <f>VLOOKUP(I197,'DESCRICAO PRODUTO'!$A:$C,3,0)</f>
        <v>MO 21L</v>
      </c>
      <c r="L197" s="50">
        <v>69</v>
      </c>
      <c r="M197" s="50">
        <v>69</v>
      </c>
      <c r="N197" s="51">
        <f t="shared" si="3"/>
        <v>0</v>
      </c>
      <c r="O197" s="40">
        <v>46126</v>
      </c>
      <c r="P197" s="40">
        <v>46168</v>
      </c>
      <c r="Q197" s="34" t="s">
        <v>455</v>
      </c>
      <c r="R197" s="18"/>
      <c r="S197" s="18">
        <v>30398</v>
      </c>
      <c r="T197" s="18" t="s">
        <v>473</v>
      </c>
      <c r="U197" s="33">
        <v>46192</v>
      </c>
      <c r="V197" s="20"/>
      <c r="W197" s="23"/>
      <c r="X197" s="23"/>
      <c r="Y197" s="12"/>
      <c r="Z197" s="24"/>
      <c r="AA197" s="25"/>
      <c r="AB197" s="25"/>
      <c r="AC197" s="26"/>
    </row>
    <row r="198" spans="1:29" ht="15" customHeight="1">
      <c r="A198" s="48">
        <v>3</v>
      </c>
      <c r="B198" s="40">
        <v>46088</v>
      </c>
      <c r="C198" s="41" t="s">
        <v>240</v>
      </c>
      <c r="D198" s="41" t="s">
        <v>7</v>
      </c>
      <c r="E198" s="49" t="s">
        <v>312</v>
      </c>
      <c r="F198" s="41" t="s">
        <v>325</v>
      </c>
      <c r="G198" s="52" t="s">
        <v>233</v>
      </c>
      <c r="H198" s="41" t="s">
        <v>481</v>
      </c>
      <c r="I198" s="41" t="s">
        <v>223</v>
      </c>
      <c r="J198" s="46" t="str">
        <f>VLOOKUP(I198,'DESCRICAO PRODUTO'!$A:$C,2,0)</f>
        <v>MICRO-ONDAS MO-01-21-W 220V/60HZ</v>
      </c>
      <c r="K198" s="41" t="str">
        <f>VLOOKUP(I198,'DESCRICAO PRODUTO'!$A:$C,3,0)</f>
        <v>MO 21L</v>
      </c>
      <c r="L198" s="50">
        <v>68</v>
      </c>
      <c r="M198" s="50">
        <v>68</v>
      </c>
      <c r="N198" s="51">
        <f t="shared" si="3"/>
        <v>0</v>
      </c>
      <c r="O198" s="40">
        <v>46100</v>
      </c>
      <c r="P198" s="40">
        <v>46108</v>
      </c>
      <c r="Q198" s="34" t="s">
        <v>455</v>
      </c>
      <c r="R198" s="18"/>
      <c r="S198" s="18">
        <v>29857</v>
      </c>
      <c r="T198" s="18" t="s">
        <v>341</v>
      </c>
      <c r="U198" s="33">
        <v>46128</v>
      </c>
      <c r="V198" s="20"/>
      <c r="W198" s="23"/>
      <c r="X198" s="23"/>
      <c r="Y198" s="12"/>
      <c r="Z198" s="24"/>
      <c r="AA198" s="25"/>
      <c r="AB198" s="25"/>
      <c r="AC198" s="26"/>
    </row>
    <row r="199" spans="1:29" ht="15" customHeight="1">
      <c r="A199" s="48">
        <v>3</v>
      </c>
      <c r="B199" s="40">
        <v>46088</v>
      </c>
      <c r="C199" s="41" t="s">
        <v>240</v>
      </c>
      <c r="D199" s="41" t="s">
        <v>7</v>
      </c>
      <c r="E199" s="49" t="s">
        <v>144</v>
      </c>
      <c r="F199" s="41" t="s">
        <v>238</v>
      </c>
      <c r="G199" s="41" t="s">
        <v>233</v>
      </c>
      <c r="H199" s="41" t="s">
        <v>482</v>
      </c>
      <c r="I199" s="41" t="s">
        <v>73</v>
      </c>
      <c r="J199" s="46" t="str">
        <f>VLOOKUP(I199,'DESCRICAO PRODUTO'!$A:$C,2,0)</f>
        <v>MICRO-ONDAS MO-01-21-W 220V/60HZ</v>
      </c>
      <c r="K199" s="41" t="str">
        <f>VLOOKUP(I199,'DESCRICAO PRODUTO'!$A:$C,3,0)</f>
        <v>MO 21L</v>
      </c>
      <c r="L199" s="47">
        <v>172</v>
      </c>
      <c r="M199" s="50">
        <v>172</v>
      </c>
      <c r="N199" s="51">
        <f t="shared" si="3"/>
        <v>0</v>
      </c>
      <c r="O199" s="40">
        <v>46126</v>
      </c>
      <c r="P199" s="40">
        <v>46167</v>
      </c>
      <c r="Q199" s="34" t="s">
        <v>455</v>
      </c>
      <c r="R199" s="18"/>
      <c r="S199" s="18">
        <v>30399</v>
      </c>
      <c r="T199" s="18" t="s">
        <v>474</v>
      </c>
      <c r="U199" s="33">
        <v>46192</v>
      </c>
      <c r="V199" s="20"/>
      <c r="W199" s="23"/>
      <c r="X199" s="23"/>
      <c r="Y199" s="12"/>
      <c r="Z199" s="24"/>
      <c r="AA199" s="25"/>
      <c r="AB199" s="25"/>
      <c r="AC199" s="26"/>
    </row>
    <row r="200" spans="1:29" ht="15" customHeight="1">
      <c r="A200" s="48">
        <v>3</v>
      </c>
      <c r="B200" s="40">
        <v>46088</v>
      </c>
      <c r="C200" s="41" t="s">
        <v>240</v>
      </c>
      <c r="D200" s="41" t="s">
        <v>7</v>
      </c>
      <c r="E200" s="49" t="s">
        <v>143</v>
      </c>
      <c r="F200" s="41" t="s">
        <v>237</v>
      </c>
      <c r="G200" s="41" t="s">
        <v>233</v>
      </c>
      <c r="H200" s="41" t="s">
        <v>482</v>
      </c>
      <c r="I200" s="41" t="s">
        <v>73</v>
      </c>
      <c r="J200" s="46" t="str">
        <f>VLOOKUP(I200,'DESCRICAO PRODUTO'!$A:$C,2,0)</f>
        <v>MICRO-ONDAS MO-01-21-W 220V/60HZ</v>
      </c>
      <c r="K200" s="41" t="str">
        <f>VLOOKUP(I200,'DESCRICAO PRODUTO'!$A:$C,3,0)</f>
        <v>MO 21L</v>
      </c>
      <c r="L200" s="47">
        <v>172</v>
      </c>
      <c r="M200" s="50">
        <v>172</v>
      </c>
      <c r="N200" s="51">
        <f t="shared" si="3"/>
        <v>0</v>
      </c>
      <c r="O200" s="40">
        <v>46126</v>
      </c>
      <c r="P200" s="40">
        <v>46167</v>
      </c>
      <c r="Q200" s="34" t="s">
        <v>455</v>
      </c>
      <c r="R200" s="18"/>
      <c r="S200" s="18">
        <v>30399</v>
      </c>
      <c r="T200" s="18" t="s">
        <v>474</v>
      </c>
      <c r="U200" s="33">
        <v>46192</v>
      </c>
    </row>
    <row r="201" spans="1:29" ht="15" customHeight="1">
      <c r="A201" s="48">
        <v>3</v>
      </c>
      <c r="B201" s="40">
        <v>46088</v>
      </c>
      <c r="C201" s="41" t="s">
        <v>240</v>
      </c>
      <c r="D201" s="41" t="s">
        <v>7</v>
      </c>
      <c r="E201" s="49" t="s">
        <v>152</v>
      </c>
      <c r="F201" s="41" t="s">
        <v>190</v>
      </c>
      <c r="G201" s="41" t="s">
        <v>233</v>
      </c>
      <c r="H201" s="41" t="s">
        <v>481</v>
      </c>
      <c r="I201" s="41" t="s">
        <v>73</v>
      </c>
      <c r="J201" s="46" t="str">
        <f>VLOOKUP(I201,'DESCRICAO PRODUTO'!$A:$C,2,0)</f>
        <v>MICRO-ONDAS MO-01-21-W 220V/60HZ</v>
      </c>
      <c r="K201" s="41" t="str">
        <f>VLOOKUP(I201,'DESCRICAO PRODUTO'!$A:$C,3,0)</f>
        <v>MO 21L</v>
      </c>
      <c r="L201" s="47">
        <v>173</v>
      </c>
      <c r="M201" s="50">
        <v>173</v>
      </c>
      <c r="N201" s="51">
        <f t="shared" si="3"/>
        <v>0</v>
      </c>
      <c r="O201" s="40">
        <v>46100</v>
      </c>
      <c r="P201" s="40">
        <v>46108</v>
      </c>
      <c r="Q201" s="34" t="s">
        <v>455</v>
      </c>
      <c r="R201" s="18"/>
      <c r="S201" s="18">
        <v>29857</v>
      </c>
      <c r="T201" s="18" t="s">
        <v>341</v>
      </c>
      <c r="U201" s="33">
        <v>46128</v>
      </c>
    </row>
    <row r="202" spans="1:29" ht="15" customHeight="1">
      <c r="A202" s="48">
        <v>3</v>
      </c>
      <c r="B202" s="40">
        <v>46088</v>
      </c>
      <c r="C202" s="41" t="s">
        <v>240</v>
      </c>
      <c r="D202" s="41" t="s">
        <v>7</v>
      </c>
      <c r="E202" s="49" t="s">
        <v>511</v>
      </c>
      <c r="F202" s="41" t="s">
        <v>201</v>
      </c>
      <c r="G202" s="41" t="s">
        <v>233</v>
      </c>
      <c r="H202" s="41" t="s">
        <v>482</v>
      </c>
      <c r="I202" s="41" t="s">
        <v>84</v>
      </c>
      <c r="J202" s="46" t="str">
        <f>VLOOKUP(I202,'DESCRICAO PRODUTO'!$A:$C,2,0)</f>
        <v>MICRO-ONDAS MO-02-34-B 127V/60HZ .</v>
      </c>
      <c r="K202" s="41" t="str">
        <f>VLOOKUP(I202,'DESCRICAO PRODUTO'!$A:$C,3,0)</f>
        <v>MO 34L</v>
      </c>
      <c r="L202" s="47">
        <v>9</v>
      </c>
      <c r="M202" s="50">
        <v>9</v>
      </c>
      <c r="N202" s="51">
        <f t="shared" si="3"/>
        <v>0</v>
      </c>
      <c r="O202" s="40">
        <v>46240</v>
      </c>
      <c r="P202" s="40">
        <v>46245</v>
      </c>
      <c r="Q202" s="34" t="s">
        <v>455</v>
      </c>
      <c r="R202" s="18" t="s">
        <v>513</v>
      </c>
      <c r="S202" s="18">
        <v>31170</v>
      </c>
      <c r="T202" s="18" t="s">
        <v>516</v>
      </c>
      <c r="U202" s="33">
        <v>46260</v>
      </c>
    </row>
    <row r="203" spans="1:29" ht="15" customHeight="1">
      <c r="A203" s="48">
        <v>3</v>
      </c>
      <c r="B203" s="40">
        <v>46088</v>
      </c>
      <c r="C203" s="41" t="s">
        <v>240</v>
      </c>
      <c r="D203" s="41" t="s">
        <v>7</v>
      </c>
      <c r="E203" s="49" t="s">
        <v>510</v>
      </c>
      <c r="F203" s="41" t="s">
        <v>198</v>
      </c>
      <c r="G203" s="41" t="s">
        <v>233</v>
      </c>
      <c r="H203" s="41" t="s">
        <v>482</v>
      </c>
      <c r="I203" s="41" t="s">
        <v>84</v>
      </c>
      <c r="J203" s="46" t="str">
        <f>VLOOKUP(I203,'DESCRICAO PRODUTO'!$A:$C,2,0)</f>
        <v>MICRO-ONDAS MO-02-34-B 127V/60HZ .</v>
      </c>
      <c r="K203" s="41" t="str">
        <f>VLOOKUP(I203,'DESCRICAO PRODUTO'!$A:$C,3,0)</f>
        <v>MO 34L</v>
      </c>
      <c r="L203" s="47">
        <v>9</v>
      </c>
      <c r="M203" s="50">
        <v>9</v>
      </c>
      <c r="N203" s="51">
        <f t="shared" si="3"/>
        <v>0</v>
      </c>
      <c r="O203" s="40">
        <v>46240</v>
      </c>
      <c r="P203" s="40">
        <v>46245</v>
      </c>
      <c r="Q203" s="34" t="s">
        <v>455</v>
      </c>
      <c r="R203" s="18" t="s">
        <v>513</v>
      </c>
      <c r="S203" s="18">
        <v>31170</v>
      </c>
      <c r="T203" s="18" t="s">
        <v>516</v>
      </c>
      <c r="U203" s="33">
        <v>46260</v>
      </c>
    </row>
    <row r="204" spans="1:29" ht="15" customHeight="1">
      <c r="A204" s="48">
        <v>3</v>
      </c>
      <c r="B204" s="40">
        <v>46088</v>
      </c>
      <c r="C204" s="41" t="s">
        <v>240</v>
      </c>
      <c r="D204" s="41" t="s">
        <v>7</v>
      </c>
      <c r="E204" s="49" t="s">
        <v>147</v>
      </c>
      <c r="F204" s="41" t="s">
        <v>148</v>
      </c>
      <c r="G204" s="41" t="s">
        <v>233</v>
      </c>
      <c r="H204" s="41" t="s">
        <v>481</v>
      </c>
      <c r="I204" s="41" t="s">
        <v>84</v>
      </c>
      <c r="J204" s="46" t="str">
        <f>VLOOKUP(I204,'DESCRICAO PRODUTO'!$A:$C,2,0)</f>
        <v>MICRO-ONDAS MO-02-34-B 127V/60HZ .</v>
      </c>
      <c r="K204" s="41" t="str">
        <f>VLOOKUP(I204,'DESCRICAO PRODUTO'!$A:$C,3,0)</f>
        <v>MO 34L</v>
      </c>
      <c r="L204" s="58">
        <v>9</v>
      </c>
      <c r="M204" s="50">
        <v>9</v>
      </c>
      <c r="N204" s="51">
        <f t="shared" si="3"/>
        <v>0</v>
      </c>
      <c r="O204" s="40">
        <v>46100</v>
      </c>
      <c r="P204" s="40">
        <v>46108</v>
      </c>
      <c r="Q204" s="34" t="s">
        <v>455</v>
      </c>
      <c r="R204" s="18"/>
      <c r="S204" s="18">
        <v>29857</v>
      </c>
      <c r="T204" s="18" t="s">
        <v>341</v>
      </c>
      <c r="U204" s="33">
        <v>46128</v>
      </c>
    </row>
    <row r="205" spans="1:29" ht="15" customHeight="1">
      <c r="A205" s="48">
        <v>3</v>
      </c>
      <c r="B205" s="40">
        <v>46088</v>
      </c>
      <c r="C205" s="41" t="s">
        <v>240</v>
      </c>
      <c r="D205" s="41" t="s">
        <v>7</v>
      </c>
      <c r="E205" s="49" t="s">
        <v>511</v>
      </c>
      <c r="F205" s="41" t="s">
        <v>201</v>
      </c>
      <c r="G205" s="41" t="s">
        <v>233</v>
      </c>
      <c r="H205" s="41" t="s">
        <v>482</v>
      </c>
      <c r="I205" s="41" t="s">
        <v>224</v>
      </c>
      <c r="J205" s="46" t="str">
        <f>VLOOKUP(I205,'DESCRICAO PRODUTO'!$A:$C,2,0)</f>
        <v>MICRO-ONDAS MO-02-34-B 220V/60HZ .</v>
      </c>
      <c r="K205" s="41" t="str">
        <f>VLOOKUP(I205,'DESCRICAO PRODUTO'!$A:$C,3,0)</f>
        <v>MO 34L</v>
      </c>
      <c r="L205" s="47">
        <v>2</v>
      </c>
      <c r="M205" s="50">
        <v>2</v>
      </c>
      <c r="N205" s="51">
        <f t="shared" si="3"/>
        <v>0</v>
      </c>
      <c r="O205" s="40">
        <v>46240</v>
      </c>
      <c r="P205" s="40">
        <v>46245</v>
      </c>
      <c r="Q205" s="34" t="s">
        <v>455</v>
      </c>
      <c r="R205" s="18" t="s">
        <v>513</v>
      </c>
      <c r="S205" s="18">
        <v>31170</v>
      </c>
      <c r="T205" s="18" t="s">
        <v>516</v>
      </c>
      <c r="U205" s="33">
        <v>46260</v>
      </c>
    </row>
    <row r="206" spans="1:29" ht="15" customHeight="1">
      <c r="A206" s="48">
        <v>3</v>
      </c>
      <c r="B206" s="40">
        <v>46088</v>
      </c>
      <c r="C206" s="41" t="s">
        <v>240</v>
      </c>
      <c r="D206" s="41" t="s">
        <v>7</v>
      </c>
      <c r="E206" s="49" t="s">
        <v>510</v>
      </c>
      <c r="F206" s="41" t="s">
        <v>198</v>
      </c>
      <c r="G206" s="41" t="s">
        <v>233</v>
      </c>
      <c r="H206" s="41" t="s">
        <v>482</v>
      </c>
      <c r="I206" s="41" t="s">
        <v>224</v>
      </c>
      <c r="J206" s="46" t="str">
        <f>VLOOKUP(I206,'DESCRICAO PRODUTO'!$A:$C,2,0)</f>
        <v>MICRO-ONDAS MO-02-34-B 220V/60HZ .</v>
      </c>
      <c r="K206" s="41" t="str">
        <f>VLOOKUP(I206,'DESCRICAO PRODUTO'!$A:$C,3,0)</f>
        <v>MO 34L</v>
      </c>
      <c r="L206" s="47">
        <v>2</v>
      </c>
      <c r="M206" s="50">
        <v>2</v>
      </c>
      <c r="N206" s="51">
        <f t="shared" si="3"/>
        <v>0</v>
      </c>
      <c r="O206" s="40">
        <v>46240</v>
      </c>
      <c r="P206" s="40">
        <v>46245</v>
      </c>
      <c r="Q206" s="34" t="s">
        <v>455</v>
      </c>
      <c r="R206" s="18" t="s">
        <v>513</v>
      </c>
      <c r="S206" s="18">
        <v>31170</v>
      </c>
      <c r="T206" s="18" t="s">
        <v>516</v>
      </c>
      <c r="U206" s="33">
        <v>46260</v>
      </c>
    </row>
    <row r="207" spans="1:29" ht="15" customHeight="1">
      <c r="A207" s="48">
        <v>3</v>
      </c>
      <c r="B207" s="40">
        <v>46088</v>
      </c>
      <c r="C207" s="41" t="s">
        <v>240</v>
      </c>
      <c r="D207" s="41" t="s">
        <v>7</v>
      </c>
      <c r="E207" s="49" t="s">
        <v>147</v>
      </c>
      <c r="F207" s="41" t="s">
        <v>148</v>
      </c>
      <c r="G207" s="41" t="s">
        <v>233</v>
      </c>
      <c r="H207" s="41" t="s">
        <v>481</v>
      </c>
      <c r="I207" s="41" t="s">
        <v>224</v>
      </c>
      <c r="J207" s="46" t="str">
        <f>VLOOKUP(I207,'DESCRICAO PRODUTO'!$A:$C,2,0)</f>
        <v>MICRO-ONDAS MO-02-34-B 220V/60HZ .</v>
      </c>
      <c r="K207" s="41" t="str">
        <f>VLOOKUP(I207,'DESCRICAO PRODUTO'!$A:$C,3,0)</f>
        <v>MO 34L</v>
      </c>
      <c r="L207" s="47">
        <v>2</v>
      </c>
      <c r="M207" s="50">
        <v>2</v>
      </c>
      <c r="N207" s="51">
        <f t="shared" si="3"/>
        <v>0</v>
      </c>
      <c r="O207" s="40">
        <v>46100</v>
      </c>
      <c r="P207" s="40">
        <v>46108</v>
      </c>
      <c r="Q207" s="34" t="s">
        <v>455</v>
      </c>
      <c r="R207" s="18"/>
      <c r="S207" s="18">
        <v>29857</v>
      </c>
      <c r="T207" s="18" t="s">
        <v>341</v>
      </c>
      <c r="U207" s="33">
        <v>46128</v>
      </c>
    </row>
    <row r="208" spans="1:29" ht="15" customHeight="1">
      <c r="A208" s="48">
        <v>3</v>
      </c>
      <c r="B208" s="40">
        <v>46088</v>
      </c>
      <c r="C208" s="41" t="s">
        <v>240</v>
      </c>
      <c r="D208" s="41" t="s">
        <v>7</v>
      </c>
      <c r="E208" s="49" t="s">
        <v>511</v>
      </c>
      <c r="F208" s="41" t="s">
        <v>201</v>
      </c>
      <c r="G208" s="41" t="s">
        <v>233</v>
      </c>
      <c r="H208" s="41" t="s">
        <v>482</v>
      </c>
      <c r="I208" s="41" t="s">
        <v>80</v>
      </c>
      <c r="J208" s="46" t="str">
        <f>VLOOKUP(I208,'DESCRICAO PRODUTO'!$A:$C,2,0)</f>
        <v>MICRO-ONDAS MO-02-34-E 127V/60HZ .</v>
      </c>
      <c r="K208" s="41" t="str">
        <f>VLOOKUP(I208,'DESCRICAO PRODUTO'!$A:$C,3,0)</f>
        <v>MO 34L</v>
      </c>
      <c r="L208" s="47">
        <v>315</v>
      </c>
      <c r="M208" s="50">
        <v>315</v>
      </c>
      <c r="N208" s="51">
        <f t="shared" si="3"/>
        <v>0</v>
      </c>
      <c r="O208" s="40">
        <v>46241</v>
      </c>
      <c r="P208" s="40">
        <v>46245</v>
      </c>
      <c r="Q208" s="34" t="s">
        <v>455</v>
      </c>
      <c r="R208" s="18" t="s">
        <v>514</v>
      </c>
      <c r="S208" s="18">
        <v>31172</v>
      </c>
      <c r="T208" s="18" t="s">
        <v>517</v>
      </c>
      <c r="U208" s="54">
        <v>46260</v>
      </c>
    </row>
    <row r="209" spans="1:21" ht="15" customHeight="1">
      <c r="A209" s="48">
        <v>3</v>
      </c>
      <c r="B209" s="40">
        <v>46088</v>
      </c>
      <c r="C209" s="41" t="s">
        <v>240</v>
      </c>
      <c r="D209" s="41" t="s">
        <v>7</v>
      </c>
      <c r="E209" s="49" t="s">
        <v>510</v>
      </c>
      <c r="F209" s="41" t="s">
        <v>198</v>
      </c>
      <c r="G209" s="41" t="s">
        <v>233</v>
      </c>
      <c r="H209" s="41" t="s">
        <v>482</v>
      </c>
      <c r="I209" s="41" t="s">
        <v>80</v>
      </c>
      <c r="J209" s="46" t="str">
        <f>VLOOKUP(I209,'DESCRICAO PRODUTO'!$A:$C,2,0)</f>
        <v>MICRO-ONDAS MO-02-34-E 127V/60HZ .</v>
      </c>
      <c r="K209" s="41" t="str">
        <f>VLOOKUP(I209,'DESCRICAO PRODUTO'!$A:$C,3,0)</f>
        <v>MO 34L</v>
      </c>
      <c r="L209" s="47">
        <v>160</v>
      </c>
      <c r="M209" s="50">
        <v>160</v>
      </c>
      <c r="N209" s="51">
        <f t="shared" si="3"/>
        <v>0</v>
      </c>
      <c r="O209" s="40">
        <v>46240</v>
      </c>
      <c r="P209" s="40">
        <v>46245</v>
      </c>
      <c r="Q209" s="34" t="s">
        <v>455</v>
      </c>
      <c r="R209" s="18" t="s">
        <v>515</v>
      </c>
      <c r="S209" s="18">
        <v>31173</v>
      </c>
      <c r="T209" s="18" t="s">
        <v>519</v>
      </c>
      <c r="U209" s="33">
        <v>46260</v>
      </c>
    </row>
    <row r="210" spans="1:21" ht="15" customHeight="1">
      <c r="A210" s="48">
        <v>3</v>
      </c>
      <c r="B210" s="40">
        <v>46088</v>
      </c>
      <c r="C210" s="41" t="s">
        <v>240</v>
      </c>
      <c r="D210" s="41" t="s">
        <v>7</v>
      </c>
      <c r="E210" s="49" t="s">
        <v>151</v>
      </c>
      <c r="F210" s="41" t="s">
        <v>148</v>
      </c>
      <c r="G210" s="41" t="s">
        <v>233</v>
      </c>
      <c r="H210" s="41" t="s">
        <v>481</v>
      </c>
      <c r="I210" s="41" t="s">
        <v>80</v>
      </c>
      <c r="J210" s="46" t="str">
        <f>VLOOKUP(I210,'DESCRICAO PRODUTO'!$A:$C,2,0)</f>
        <v>MICRO-ONDAS MO-02-34-E 127V/60HZ .</v>
      </c>
      <c r="K210" s="41" t="str">
        <f>VLOOKUP(I210,'DESCRICAO PRODUTO'!$A:$C,3,0)</f>
        <v>MO 34L</v>
      </c>
      <c r="L210" s="47">
        <v>477</v>
      </c>
      <c r="M210" s="50">
        <v>477</v>
      </c>
      <c r="N210" s="51">
        <f t="shared" si="3"/>
        <v>0</v>
      </c>
      <c r="O210" s="40">
        <v>46100</v>
      </c>
      <c r="P210" s="40">
        <v>46108</v>
      </c>
      <c r="Q210" s="34" t="s">
        <v>455</v>
      </c>
      <c r="R210" s="18"/>
      <c r="S210" s="18">
        <v>29857</v>
      </c>
      <c r="T210" s="18" t="s">
        <v>341</v>
      </c>
      <c r="U210" s="33">
        <v>46128</v>
      </c>
    </row>
    <row r="211" spans="1:21" ht="15" customHeight="1">
      <c r="A211" s="48">
        <v>3</v>
      </c>
      <c r="B211" s="40">
        <v>46088</v>
      </c>
      <c r="C211" s="41" t="s">
        <v>240</v>
      </c>
      <c r="D211" s="41" t="s">
        <v>7</v>
      </c>
      <c r="E211" s="49" t="s">
        <v>511</v>
      </c>
      <c r="F211" s="41" t="s">
        <v>201</v>
      </c>
      <c r="G211" s="41" t="s">
        <v>233</v>
      </c>
      <c r="H211" s="41" t="s">
        <v>482</v>
      </c>
      <c r="I211" s="41" t="s">
        <v>79</v>
      </c>
      <c r="J211" s="46" t="str">
        <f>VLOOKUP(I211,'DESCRICAO PRODUTO'!$A:$C,2,0)</f>
        <v>MICRO-ONDAS MO-02-34-E 220V/60HZ .</v>
      </c>
      <c r="K211" s="41" t="str">
        <f>VLOOKUP(I211,'DESCRICAO PRODUTO'!$A:$C,3,0)</f>
        <v>MO 34L</v>
      </c>
      <c r="L211" s="47">
        <v>16</v>
      </c>
      <c r="M211" s="50">
        <v>16</v>
      </c>
      <c r="N211" s="51">
        <f t="shared" si="3"/>
        <v>0</v>
      </c>
      <c r="O211" s="40">
        <v>46240</v>
      </c>
      <c r="P211" s="40">
        <v>46245</v>
      </c>
      <c r="Q211" s="34" t="s">
        <v>455</v>
      </c>
      <c r="R211" s="18" t="s">
        <v>513</v>
      </c>
      <c r="S211" s="18">
        <v>31170</v>
      </c>
      <c r="T211" s="18" t="s">
        <v>516</v>
      </c>
      <c r="U211" s="33">
        <v>46260</v>
      </c>
    </row>
    <row r="212" spans="1:21" ht="15" customHeight="1">
      <c r="A212" s="48">
        <v>3</v>
      </c>
      <c r="B212" s="40">
        <v>46088</v>
      </c>
      <c r="C212" s="41" t="s">
        <v>240</v>
      </c>
      <c r="D212" s="41" t="s">
        <v>7</v>
      </c>
      <c r="E212" s="49" t="s">
        <v>510</v>
      </c>
      <c r="F212" s="41" t="s">
        <v>198</v>
      </c>
      <c r="G212" s="41" t="s">
        <v>233</v>
      </c>
      <c r="H212" s="41" t="s">
        <v>482</v>
      </c>
      <c r="I212" s="41" t="s">
        <v>79</v>
      </c>
      <c r="J212" s="46" t="str">
        <f>VLOOKUP(I212,'DESCRICAO PRODUTO'!$A:$C,2,0)</f>
        <v>MICRO-ONDAS MO-02-34-E 220V/60HZ .</v>
      </c>
      <c r="K212" s="41" t="str">
        <f>VLOOKUP(I212,'DESCRICAO PRODUTO'!$A:$C,3,0)</f>
        <v>MO 34L</v>
      </c>
      <c r="L212" s="47">
        <v>16</v>
      </c>
      <c r="M212" s="50">
        <v>16</v>
      </c>
      <c r="N212" s="51">
        <f t="shared" si="3"/>
        <v>0</v>
      </c>
      <c r="O212" s="40">
        <v>46240</v>
      </c>
      <c r="P212" s="40">
        <v>46245</v>
      </c>
      <c r="Q212" s="34" t="s">
        <v>455</v>
      </c>
      <c r="R212" s="18" t="s">
        <v>513</v>
      </c>
      <c r="S212" s="18">
        <v>31170</v>
      </c>
      <c r="T212" s="18" t="s">
        <v>516</v>
      </c>
      <c r="U212" s="33">
        <v>46260</v>
      </c>
    </row>
    <row r="213" spans="1:21" ht="15" customHeight="1">
      <c r="A213" s="48">
        <v>3</v>
      </c>
      <c r="B213" s="40">
        <v>46088</v>
      </c>
      <c r="C213" s="41" t="s">
        <v>240</v>
      </c>
      <c r="D213" s="41" t="s">
        <v>7</v>
      </c>
      <c r="E213" s="49" t="s">
        <v>149</v>
      </c>
      <c r="F213" s="41" t="s">
        <v>150</v>
      </c>
      <c r="G213" s="41" t="s">
        <v>233</v>
      </c>
      <c r="H213" s="41" t="s">
        <v>481</v>
      </c>
      <c r="I213" s="41" t="s">
        <v>79</v>
      </c>
      <c r="J213" s="46" t="str">
        <f>VLOOKUP(I213,'DESCRICAO PRODUTO'!$A:$C,2,0)</f>
        <v>MICRO-ONDAS MO-02-34-E 220V/60HZ .</v>
      </c>
      <c r="K213" s="41" t="str">
        <f>VLOOKUP(I213,'DESCRICAO PRODUTO'!$A:$C,3,0)</f>
        <v>MO 34L</v>
      </c>
      <c r="L213" s="47">
        <v>16</v>
      </c>
      <c r="M213" s="50"/>
      <c r="N213" s="51">
        <f t="shared" si="3"/>
        <v>-16</v>
      </c>
      <c r="O213" s="40"/>
      <c r="P213" s="40"/>
      <c r="Q213" s="34" t="s">
        <v>4</v>
      </c>
      <c r="R213" s="18" t="s">
        <v>557</v>
      </c>
      <c r="S213" s="18"/>
      <c r="T213" s="18"/>
      <c r="U213" s="33"/>
    </row>
    <row r="214" spans="1:21" ht="15" customHeight="1">
      <c r="A214" s="48">
        <v>3</v>
      </c>
      <c r="B214" s="40">
        <v>46088</v>
      </c>
      <c r="C214" s="41" t="s">
        <v>240</v>
      </c>
      <c r="D214" s="41" t="s">
        <v>7</v>
      </c>
      <c r="E214" s="49" t="s">
        <v>511</v>
      </c>
      <c r="F214" s="41" t="s">
        <v>201</v>
      </c>
      <c r="G214" s="41" t="s">
        <v>233</v>
      </c>
      <c r="H214" s="41" t="s">
        <v>482</v>
      </c>
      <c r="I214" s="41" t="s">
        <v>81</v>
      </c>
      <c r="J214" s="46" t="str">
        <f>VLOOKUP(I214,'DESCRICAO PRODUTO'!$A:$C,2,0)</f>
        <v>MICRO-ONDAS MO-02-34-E 220V/60HZ .</v>
      </c>
      <c r="K214" s="41" t="str">
        <f>VLOOKUP(I214,'DESCRICAO PRODUTO'!$A:$C,3,0)</f>
        <v>MO 34L</v>
      </c>
      <c r="L214" s="47">
        <v>64</v>
      </c>
      <c r="M214" s="50">
        <v>64</v>
      </c>
      <c r="N214" s="51">
        <f t="shared" si="3"/>
        <v>0</v>
      </c>
      <c r="O214" s="40">
        <v>46240</v>
      </c>
      <c r="P214" s="40">
        <v>46245</v>
      </c>
      <c r="Q214" s="34" t="s">
        <v>455</v>
      </c>
      <c r="R214" s="18" t="s">
        <v>513</v>
      </c>
      <c r="S214" s="18">
        <v>31170</v>
      </c>
      <c r="T214" s="18" t="s">
        <v>516</v>
      </c>
      <c r="U214" s="33">
        <v>46260</v>
      </c>
    </row>
    <row r="215" spans="1:21" ht="15" customHeight="1">
      <c r="A215" s="48">
        <v>3</v>
      </c>
      <c r="B215" s="40">
        <v>46088</v>
      </c>
      <c r="C215" s="41" t="s">
        <v>240</v>
      </c>
      <c r="D215" s="41" t="s">
        <v>7</v>
      </c>
      <c r="E215" s="49" t="s">
        <v>510</v>
      </c>
      <c r="F215" s="41" t="s">
        <v>198</v>
      </c>
      <c r="G215" s="41" t="s">
        <v>233</v>
      </c>
      <c r="H215" s="41" t="s">
        <v>482</v>
      </c>
      <c r="I215" s="41" t="s">
        <v>81</v>
      </c>
      <c r="J215" s="46" t="str">
        <f>VLOOKUP(I215,'DESCRICAO PRODUTO'!$A:$C,2,0)</f>
        <v>MICRO-ONDAS MO-02-34-E 220V/60HZ .</v>
      </c>
      <c r="K215" s="41" t="str">
        <f>VLOOKUP(I215,'DESCRICAO PRODUTO'!$A:$C,3,0)</f>
        <v>MO 34L</v>
      </c>
      <c r="L215" s="47">
        <v>64</v>
      </c>
      <c r="M215" s="50">
        <v>64</v>
      </c>
      <c r="N215" s="51">
        <f t="shared" si="3"/>
        <v>0</v>
      </c>
      <c r="O215" s="40">
        <v>46240</v>
      </c>
      <c r="P215" s="40">
        <v>46245</v>
      </c>
      <c r="Q215" s="34" t="s">
        <v>455</v>
      </c>
      <c r="R215" s="18" t="s">
        <v>513</v>
      </c>
      <c r="S215" s="18">
        <v>31170</v>
      </c>
      <c r="T215" s="18" t="s">
        <v>516</v>
      </c>
      <c r="U215" s="33">
        <v>46260</v>
      </c>
    </row>
    <row r="216" spans="1:21" ht="15" customHeight="1">
      <c r="A216" s="48">
        <v>3</v>
      </c>
      <c r="B216" s="40">
        <v>46088</v>
      </c>
      <c r="C216" s="41" t="s">
        <v>240</v>
      </c>
      <c r="D216" s="41" t="s">
        <v>7</v>
      </c>
      <c r="E216" s="49" t="s">
        <v>151</v>
      </c>
      <c r="F216" s="41" t="s">
        <v>148</v>
      </c>
      <c r="G216" s="41" t="s">
        <v>233</v>
      </c>
      <c r="H216" s="41" t="s">
        <v>481</v>
      </c>
      <c r="I216" s="41" t="s">
        <v>81</v>
      </c>
      <c r="J216" s="46" t="str">
        <f>VLOOKUP(I216,'DESCRICAO PRODUTO'!$A:$C,2,0)</f>
        <v>MICRO-ONDAS MO-02-34-E 220V/60HZ .</v>
      </c>
      <c r="K216" s="41" t="str">
        <f>VLOOKUP(I216,'DESCRICAO PRODUTO'!$A:$C,3,0)</f>
        <v>MO 34L</v>
      </c>
      <c r="L216" s="47">
        <v>64</v>
      </c>
      <c r="M216" s="50">
        <v>64</v>
      </c>
      <c r="N216" s="51">
        <f t="shared" si="3"/>
        <v>0</v>
      </c>
      <c r="O216" s="40">
        <v>46100</v>
      </c>
      <c r="P216" s="40">
        <v>46108</v>
      </c>
      <c r="Q216" s="34" t="s">
        <v>455</v>
      </c>
      <c r="R216" s="18"/>
      <c r="S216" s="18">
        <v>29857</v>
      </c>
      <c r="T216" s="18" t="s">
        <v>341</v>
      </c>
      <c r="U216" s="33">
        <v>46128</v>
      </c>
    </row>
    <row r="217" spans="1:21" ht="15" customHeight="1">
      <c r="A217" s="48">
        <v>3</v>
      </c>
      <c r="B217" s="40">
        <v>46088</v>
      </c>
      <c r="C217" s="41" t="s">
        <v>240</v>
      </c>
      <c r="D217" s="41" t="s">
        <v>7</v>
      </c>
      <c r="E217" s="49" t="s">
        <v>511</v>
      </c>
      <c r="F217" s="41" t="s">
        <v>201</v>
      </c>
      <c r="G217" s="41" t="s">
        <v>233</v>
      </c>
      <c r="H217" s="41" t="s">
        <v>482</v>
      </c>
      <c r="I217" s="41" t="s">
        <v>78</v>
      </c>
      <c r="J217" s="46" t="str">
        <f>VLOOKUP(I217,'DESCRICAO PRODUTO'!$A:$C,2,0)</f>
        <v>MICRO-ONDAS MO-02-34-W 220V/60HZ .</v>
      </c>
      <c r="K217" s="41" t="str">
        <f>VLOOKUP(I217,'DESCRICAO PRODUTO'!$A:$C,3,0)</f>
        <v>MO 34L</v>
      </c>
      <c r="L217" s="47">
        <v>121</v>
      </c>
      <c r="M217" s="50">
        <v>121</v>
      </c>
      <c r="N217" s="51">
        <f t="shared" si="3"/>
        <v>0</v>
      </c>
      <c r="O217" s="40">
        <v>46241</v>
      </c>
      <c r="P217" s="40">
        <v>46245</v>
      </c>
      <c r="Q217" s="34" t="s">
        <v>455</v>
      </c>
      <c r="R217" s="18" t="s">
        <v>515</v>
      </c>
      <c r="S217" s="18">
        <v>31173</v>
      </c>
      <c r="T217" s="18" t="s">
        <v>519</v>
      </c>
      <c r="U217" s="33">
        <v>46260</v>
      </c>
    </row>
    <row r="218" spans="1:21" ht="15" customHeight="1">
      <c r="A218" s="48">
        <v>3</v>
      </c>
      <c r="B218" s="40">
        <v>46088</v>
      </c>
      <c r="C218" s="41" t="s">
        <v>240</v>
      </c>
      <c r="D218" s="41" t="s">
        <v>7</v>
      </c>
      <c r="E218" s="49" t="s">
        <v>510</v>
      </c>
      <c r="F218" s="41" t="s">
        <v>198</v>
      </c>
      <c r="G218" s="41" t="s">
        <v>233</v>
      </c>
      <c r="H218" s="41" t="s">
        <v>482</v>
      </c>
      <c r="I218" s="41" t="s">
        <v>78</v>
      </c>
      <c r="J218" s="46" t="str">
        <f>VLOOKUP(I218,'DESCRICAO PRODUTO'!$A:$C,2,0)</f>
        <v>MICRO-ONDAS MO-02-34-W 220V/60HZ .</v>
      </c>
      <c r="K218" s="41" t="str">
        <f>VLOOKUP(I218,'DESCRICAO PRODUTO'!$A:$C,3,0)</f>
        <v>MO 34L</v>
      </c>
      <c r="L218" s="47">
        <v>121</v>
      </c>
      <c r="M218" s="50">
        <v>121</v>
      </c>
      <c r="N218" s="51">
        <f t="shared" si="3"/>
        <v>0</v>
      </c>
      <c r="O218" s="40">
        <v>46240</v>
      </c>
      <c r="P218" s="40">
        <v>46245</v>
      </c>
      <c r="Q218" s="34" t="s">
        <v>455</v>
      </c>
      <c r="R218" s="18" t="s">
        <v>515</v>
      </c>
      <c r="S218" s="18">
        <v>31173</v>
      </c>
      <c r="T218" s="18" t="s">
        <v>519</v>
      </c>
      <c r="U218" s="33">
        <v>46260</v>
      </c>
    </row>
    <row r="219" spans="1:21" ht="15" customHeight="1">
      <c r="A219" s="48">
        <v>3</v>
      </c>
      <c r="B219" s="40">
        <v>46088</v>
      </c>
      <c r="C219" s="41" t="s">
        <v>240</v>
      </c>
      <c r="D219" s="41" t="s">
        <v>7</v>
      </c>
      <c r="E219" s="49" t="s">
        <v>239</v>
      </c>
      <c r="F219" s="41" t="s">
        <v>154</v>
      </c>
      <c r="G219" s="41" t="s">
        <v>233</v>
      </c>
      <c r="H219" s="41" t="s">
        <v>481</v>
      </c>
      <c r="I219" s="41" t="s">
        <v>78</v>
      </c>
      <c r="J219" s="46" t="str">
        <f>VLOOKUP(I219,'DESCRICAO PRODUTO'!$A:$C,2,0)</f>
        <v>MICRO-ONDAS MO-02-34-W 220V/60HZ .</v>
      </c>
      <c r="K219" s="41" t="str">
        <f>VLOOKUP(I219,'DESCRICAO PRODUTO'!$A:$C,3,0)</f>
        <v>MO 34L</v>
      </c>
      <c r="L219" s="47">
        <v>121</v>
      </c>
      <c r="M219" s="50">
        <v>121</v>
      </c>
      <c r="N219" s="51">
        <f t="shared" si="3"/>
        <v>0</v>
      </c>
      <c r="O219" s="40">
        <v>46100</v>
      </c>
      <c r="P219" s="40">
        <v>46108</v>
      </c>
      <c r="Q219" s="34" t="s">
        <v>455</v>
      </c>
      <c r="R219" s="18"/>
      <c r="S219" s="18">
        <v>29857</v>
      </c>
      <c r="T219" s="18" t="s">
        <v>341</v>
      </c>
      <c r="U219" s="33">
        <v>46128</v>
      </c>
    </row>
    <row r="220" spans="1:21" ht="15" customHeight="1">
      <c r="A220" s="48">
        <v>3</v>
      </c>
      <c r="B220" s="40">
        <v>46088</v>
      </c>
      <c r="C220" s="41" t="s">
        <v>240</v>
      </c>
      <c r="D220" s="41" t="s">
        <v>7</v>
      </c>
      <c r="E220" s="49" t="s">
        <v>14</v>
      </c>
      <c r="F220" s="41" t="s">
        <v>450</v>
      </c>
      <c r="G220" s="41" t="s">
        <v>233</v>
      </c>
      <c r="H220" s="41" t="s">
        <v>481</v>
      </c>
      <c r="I220" s="41" t="s">
        <v>13</v>
      </c>
      <c r="J220" s="46" t="str">
        <f>VLOOKUP(I220,'DESCRICAO PRODUTO'!$A:$C,2,0)</f>
        <v>TORRE DE SOM AWS-T1W-02 BIVOLT BLUETOOTH</v>
      </c>
      <c r="K220" s="41" t="str">
        <f>VLOOKUP(I220,'DESCRICAO PRODUTO'!$A:$C,3,0)</f>
        <v>T1W</v>
      </c>
      <c r="L220" s="47">
        <v>548</v>
      </c>
      <c r="M220" s="50">
        <v>548</v>
      </c>
      <c r="N220" s="51">
        <f t="shared" si="3"/>
        <v>0</v>
      </c>
      <c r="O220" s="40">
        <v>46100</v>
      </c>
      <c r="P220" s="40">
        <v>46122</v>
      </c>
      <c r="Q220" s="34" t="s">
        <v>455</v>
      </c>
      <c r="R220" s="8"/>
      <c r="S220" s="18">
        <v>29915</v>
      </c>
      <c r="T220" s="18" t="s">
        <v>452</v>
      </c>
      <c r="U220" s="33">
        <v>46146</v>
      </c>
    </row>
    <row r="221" spans="1:21" ht="15" customHeight="1">
      <c r="A221" s="48">
        <v>3</v>
      </c>
      <c r="B221" s="40">
        <v>46088</v>
      </c>
      <c r="C221" s="41" t="s">
        <v>240</v>
      </c>
      <c r="D221" s="41" t="s">
        <v>7</v>
      </c>
      <c r="E221" s="49" t="s">
        <v>15</v>
      </c>
      <c r="F221" s="41" t="s">
        <v>16</v>
      </c>
      <c r="G221" s="41" t="s">
        <v>233</v>
      </c>
      <c r="H221" s="41" t="s">
        <v>481</v>
      </c>
      <c r="I221" s="41" t="s">
        <v>10</v>
      </c>
      <c r="J221" s="46" t="str">
        <f>VLOOKUP(I221,'DESCRICAO PRODUTO'!$A:$C,2,0)</f>
        <v>TORRE DE SOM AWS-T2W-02 BIVOLT BLUETOOTH</v>
      </c>
      <c r="K221" s="41" t="str">
        <f>VLOOKUP(I221,'DESCRICAO PRODUTO'!$A:$C,3,0)</f>
        <v>T2W</v>
      </c>
      <c r="L221" s="47">
        <v>400</v>
      </c>
      <c r="M221" s="50">
        <v>400</v>
      </c>
      <c r="N221" s="51">
        <f t="shared" si="3"/>
        <v>0</v>
      </c>
      <c r="O221" s="40">
        <v>46127</v>
      </c>
      <c r="P221" s="40">
        <v>46122</v>
      </c>
      <c r="Q221" s="34" t="s">
        <v>455</v>
      </c>
      <c r="R221" s="18"/>
      <c r="S221" s="18">
        <v>29980</v>
      </c>
      <c r="T221" s="18" t="s">
        <v>452</v>
      </c>
      <c r="U221" s="33">
        <v>46146</v>
      </c>
    </row>
    <row r="222" spans="1:21" ht="15" customHeight="1">
      <c r="A222" s="48">
        <v>3</v>
      </c>
      <c r="B222" s="40">
        <v>46088</v>
      </c>
      <c r="C222" s="41" t="s">
        <v>240</v>
      </c>
      <c r="D222" s="41" t="s">
        <v>7</v>
      </c>
      <c r="E222" s="49" t="s">
        <v>15</v>
      </c>
      <c r="F222" s="41" t="s">
        <v>16</v>
      </c>
      <c r="G222" s="41" t="s">
        <v>233</v>
      </c>
      <c r="H222" s="41" t="s">
        <v>481</v>
      </c>
      <c r="I222" s="41" t="s">
        <v>10</v>
      </c>
      <c r="J222" s="46" t="str">
        <f>VLOOKUP(I222,'DESCRICAO PRODUTO'!$A:$C,2,0)</f>
        <v>TORRE DE SOM AWS-T2W-02 BIVOLT BLUETOOTH</v>
      </c>
      <c r="K222" s="41" t="str">
        <f>VLOOKUP(I222,'DESCRICAO PRODUTO'!$A:$C,3,0)</f>
        <v>T2W</v>
      </c>
      <c r="L222" s="47">
        <v>1146</v>
      </c>
      <c r="M222" s="50">
        <v>1146</v>
      </c>
      <c r="N222" s="51">
        <f t="shared" si="3"/>
        <v>0</v>
      </c>
      <c r="O222" s="40">
        <v>46127</v>
      </c>
      <c r="P222" s="40">
        <v>46125</v>
      </c>
      <c r="Q222" s="34" t="s">
        <v>455</v>
      </c>
      <c r="R222" s="18"/>
      <c r="S222" s="18">
        <v>30006</v>
      </c>
      <c r="T222" s="18" t="s">
        <v>453</v>
      </c>
      <c r="U222" s="33">
        <v>46148</v>
      </c>
    </row>
    <row r="223" spans="1:21" ht="15" customHeight="1">
      <c r="A223" s="48">
        <v>3</v>
      </c>
      <c r="B223" s="40">
        <v>46088</v>
      </c>
      <c r="C223" s="41" t="s">
        <v>240</v>
      </c>
      <c r="D223" s="41" t="s">
        <v>7</v>
      </c>
      <c r="E223" s="49" t="s">
        <v>15</v>
      </c>
      <c r="F223" s="41" t="s">
        <v>16</v>
      </c>
      <c r="G223" s="41" t="s">
        <v>233</v>
      </c>
      <c r="H223" s="41" t="s">
        <v>481</v>
      </c>
      <c r="I223" s="41" t="s">
        <v>10</v>
      </c>
      <c r="J223" s="46" t="str">
        <f>VLOOKUP(I223,'DESCRICAO PRODUTO'!$A:$C,2,0)</f>
        <v>TORRE DE SOM AWS-T2W-02 BIVOLT BLUETOOTH</v>
      </c>
      <c r="K223" s="41" t="str">
        <f>VLOOKUP(I223,'DESCRICAO PRODUTO'!$A:$C,3,0)</f>
        <v>T2W</v>
      </c>
      <c r="L223" s="47">
        <v>1042</v>
      </c>
      <c r="M223" s="50">
        <v>1042</v>
      </c>
      <c r="N223" s="51">
        <f t="shared" si="3"/>
        <v>0</v>
      </c>
      <c r="O223" s="40">
        <v>46127</v>
      </c>
      <c r="P223" s="40">
        <v>46136</v>
      </c>
      <c r="Q223" s="34" t="s">
        <v>455</v>
      </c>
      <c r="R223" s="18"/>
      <c r="S223" s="18">
        <v>30027</v>
      </c>
      <c r="T223" s="18" t="s">
        <v>454</v>
      </c>
      <c r="U223" s="33">
        <v>46153</v>
      </c>
    </row>
    <row r="224" spans="1:21" ht="15" customHeight="1">
      <c r="A224" s="48">
        <v>3</v>
      </c>
      <c r="B224" s="40">
        <v>46088</v>
      </c>
      <c r="C224" s="41" t="s">
        <v>240</v>
      </c>
      <c r="D224" s="41" t="s">
        <v>7</v>
      </c>
      <c r="E224" s="49" t="s">
        <v>11</v>
      </c>
      <c r="F224" s="41" t="s">
        <v>12</v>
      </c>
      <c r="G224" s="41" t="s">
        <v>241</v>
      </c>
      <c r="H224" s="41" t="s">
        <v>479</v>
      </c>
      <c r="I224" s="41" t="s">
        <v>13</v>
      </c>
      <c r="J224" s="46" t="str">
        <f>VLOOKUP(I224,'DESCRICAO PRODUTO'!$A:$C,2,0)</f>
        <v>TORRE DE SOM AWS-T1W-02 BIVOLT BLUETOOTH</v>
      </c>
      <c r="K224" s="41" t="str">
        <f>VLOOKUP(I224,'DESCRICAO PRODUTO'!$A:$C,3,0)</f>
        <v>T1W</v>
      </c>
      <c r="L224" s="47">
        <v>274</v>
      </c>
      <c r="M224" s="50">
        <v>274</v>
      </c>
      <c r="N224" s="51">
        <f t="shared" si="3"/>
        <v>0</v>
      </c>
      <c r="O224" s="40">
        <v>46100</v>
      </c>
      <c r="P224" s="40">
        <v>46122</v>
      </c>
      <c r="Q224" s="34" t="s">
        <v>455</v>
      </c>
      <c r="R224" s="18"/>
      <c r="S224" s="18">
        <v>29915</v>
      </c>
      <c r="T224" s="18" t="s">
        <v>452</v>
      </c>
      <c r="U224" s="33">
        <v>46146</v>
      </c>
    </row>
    <row r="225" spans="1:21" ht="15" customHeight="1">
      <c r="A225" s="48">
        <v>3</v>
      </c>
      <c r="B225" s="40">
        <v>46088</v>
      </c>
      <c r="C225" s="41" t="s">
        <v>240</v>
      </c>
      <c r="D225" s="41" t="s">
        <v>7</v>
      </c>
      <c r="E225" s="49" t="s">
        <v>8</v>
      </c>
      <c r="F225" s="41" t="s">
        <v>9</v>
      </c>
      <c r="G225" s="41" t="s">
        <v>241</v>
      </c>
      <c r="H225" s="41" t="s">
        <v>479</v>
      </c>
      <c r="I225" s="41" t="s">
        <v>10</v>
      </c>
      <c r="J225" s="46" t="str">
        <f>VLOOKUP(I225,'DESCRICAO PRODUTO'!$A:$C,2,0)</f>
        <v>TORRE DE SOM AWS-T2W-02 BIVOLT BLUETOOTH</v>
      </c>
      <c r="K225" s="41" t="str">
        <f>VLOOKUP(I225,'DESCRICAO PRODUTO'!$A:$C,3,0)</f>
        <v>T2W</v>
      </c>
      <c r="L225" s="47">
        <v>200</v>
      </c>
      <c r="M225" s="50">
        <v>200</v>
      </c>
      <c r="N225" s="51">
        <f t="shared" si="3"/>
        <v>0</v>
      </c>
      <c r="O225" s="40">
        <v>46127</v>
      </c>
      <c r="P225" s="40">
        <v>46122</v>
      </c>
      <c r="Q225" s="34" t="s">
        <v>455</v>
      </c>
      <c r="R225" s="18"/>
      <c r="S225" s="18">
        <v>29980</v>
      </c>
      <c r="T225" s="18" t="s">
        <v>452</v>
      </c>
      <c r="U225" s="33">
        <v>46146</v>
      </c>
    </row>
    <row r="226" spans="1:21" ht="15" customHeight="1">
      <c r="A226" s="48">
        <v>3</v>
      </c>
      <c r="B226" s="40">
        <v>46088</v>
      </c>
      <c r="C226" s="41" t="s">
        <v>240</v>
      </c>
      <c r="D226" s="41" t="s">
        <v>7</v>
      </c>
      <c r="E226" s="49" t="s">
        <v>8</v>
      </c>
      <c r="F226" s="41" t="s">
        <v>9</v>
      </c>
      <c r="G226" s="41" t="s">
        <v>241</v>
      </c>
      <c r="H226" s="41" t="s">
        <v>479</v>
      </c>
      <c r="I226" s="41" t="s">
        <v>10</v>
      </c>
      <c r="J226" s="46" t="str">
        <f>VLOOKUP(I226,'DESCRICAO PRODUTO'!$A:$C,2,0)</f>
        <v>TORRE DE SOM AWS-T2W-02 BIVOLT BLUETOOTH</v>
      </c>
      <c r="K226" s="41" t="str">
        <f>VLOOKUP(I226,'DESCRICAO PRODUTO'!$A:$C,3,0)</f>
        <v>T2W</v>
      </c>
      <c r="L226" s="47">
        <v>573</v>
      </c>
      <c r="M226" s="50">
        <v>573</v>
      </c>
      <c r="N226" s="51">
        <f t="shared" si="3"/>
        <v>0</v>
      </c>
      <c r="O226" s="40">
        <v>46127</v>
      </c>
      <c r="P226" s="40">
        <v>46125</v>
      </c>
      <c r="Q226" s="34" t="s">
        <v>455</v>
      </c>
      <c r="R226" s="18"/>
      <c r="S226" s="18">
        <v>30006</v>
      </c>
      <c r="T226" s="18" t="s">
        <v>453</v>
      </c>
      <c r="U226" s="33">
        <v>46148</v>
      </c>
    </row>
    <row r="227" spans="1:21" ht="15" customHeight="1">
      <c r="A227" s="48">
        <v>3</v>
      </c>
      <c r="B227" s="40">
        <v>46088</v>
      </c>
      <c r="C227" s="41" t="s">
        <v>240</v>
      </c>
      <c r="D227" s="41" t="s">
        <v>7</v>
      </c>
      <c r="E227" s="49" t="s">
        <v>8</v>
      </c>
      <c r="F227" s="41" t="s">
        <v>9</v>
      </c>
      <c r="G227" s="41" t="s">
        <v>241</v>
      </c>
      <c r="H227" s="41" t="s">
        <v>479</v>
      </c>
      <c r="I227" s="41" t="s">
        <v>10</v>
      </c>
      <c r="J227" s="46" t="str">
        <f>VLOOKUP(I227,'DESCRICAO PRODUTO'!$A:$C,2,0)</f>
        <v>TORRE DE SOM AWS-T2W-02 BIVOLT BLUETOOTH</v>
      </c>
      <c r="K227" s="41" t="str">
        <f>VLOOKUP(I227,'DESCRICAO PRODUTO'!$A:$C,3,0)</f>
        <v>T2W</v>
      </c>
      <c r="L227" s="47">
        <v>521</v>
      </c>
      <c r="M227" s="50">
        <v>521</v>
      </c>
      <c r="N227" s="51">
        <f t="shared" si="3"/>
        <v>0</v>
      </c>
      <c r="O227" s="40">
        <v>46127</v>
      </c>
      <c r="P227" s="40">
        <v>46136</v>
      </c>
      <c r="Q227" s="34" t="s">
        <v>455</v>
      </c>
      <c r="R227" s="18"/>
      <c r="S227" s="18">
        <v>30027</v>
      </c>
      <c r="T227" s="18" t="s">
        <v>454</v>
      </c>
      <c r="U227" s="33">
        <v>46153</v>
      </c>
    </row>
    <row r="228" spans="1:21" ht="15" customHeight="1">
      <c r="A228" s="48">
        <v>3</v>
      </c>
      <c r="B228" s="40">
        <v>46088</v>
      </c>
      <c r="C228" s="41" t="s">
        <v>240</v>
      </c>
      <c r="D228" s="41" t="s">
        <v>7</v>
      </c>
      <c r="E228" s="49" t="s">
        <v>332</v>
      </c>
      <c r="F228" s="41" t="s">
        <v>333</v>
      </c>
      <c r="G228" s="41" t="s">
        <v>233</v>
      </c>
      <c r="H228" s="41" t="s">
        <v>481</v>
      </c>
      <c r="I228" s="41" t="s">
        <v>226</v>
      </c>
      <c r="J228" s="46" t="str">
        <f>VLOOKUP(I228,'DESCRICAO PRODUTO'!$A:$C,2,0)</f>
        <v>TORRE DE SOM TM-1200 BIV</v>
      </c>
      <c r="K228" s="41" t="str">
        <f>VLOOKUP(I228,'DESCRICAO PRODUTO'!$A:$C,3,0)</f>
        <v>TM1200</v>
      </c>
      <c r="L228" s="47">
        <v>256</v>
      </c>
      <c r="M228" s="58">
        <v>256</v>
      </c>
      <c r="N228" s="51">
        <f t="shared" si="3"/>
        <v>0</v>
      </c>
      <c r="O228" s="40">
        <v>46100</v>
      </c>
      <c r="P228" s="40">
        <v>46122</v>
      </c>
      <c r="Q228" s="34" t="s">
        <v>455</v>
      </c>
      <c r="R228" s="8"/>
      <c r="S228" s="18">
        <v>29917</v>
      </c>
      <c r="T228" s="18" t="s">
        <v>452</v>
      </c>
      <c r="U228" s="33">
        <v>46146</v>
      </c>
    </row>
    <row r="229" spans="1:21" ht="15" customHeight="1">
      <c r="A229" s="48">
        <v>3</v>
      </c>
      <c r="B229" s="40">
        <v>46088</v>
      </c>
      <c r="C229" s="41" t="s">
        <v>240</v>
      </c>
      <c r="D229" s="41" t="s">
        <v>7</v>
      </c>
      <c r="E229" s="49" t="s">
        <v>202</v>
      </c>
      <c r="F229" s="41" t="s">
        <v>203</v>
      </c>
      <c r="G229" s="41" t="s">
        <v>233</v>
      </c>
      <c r="H229" s="41" t="s">
        <v>481</v>
      </c>
      <c r="I229" s="41" t="s">
        <v>160</v>
      </c>
      <c r="J229" s="46" t="str">
        <f>VLOOKUP(I229,'DESCRICAO PRODUTO'!$A:$C,2,0)</f>
        <v>TORRE DE SOM TM2200 BIV</v>
      </c>
      <c r="K229" s="41" t="str">
        <f>VLOOKUP(I229,'DESCRICAO PRODUTO'!$A:$C,3,0)</f>
        <v>TM2200</v>
      </c>
      <c r="L229" s="47">
        <v>174</v>
      </c>
      <c r="M229" s="58">
        <v>174</v>
      </c>
      <c r="N229" s="51">
        <f t="shared" si="3"/>
        <v>0</v>
      </c>
      <c r="O229" s="40">
        <v>46100</v>
      </c>
      <c r="P229" s="40">
        <v>46122</v>
      </c>
      <c r="Q229" s="34" t="s">
        <v>455</v>
      </c>
      <c r="R229" s="18"/>
      <c r="S229" s="18">
        <v>29918</v>
      </c>
      <c r="T229" s="18" t="s">
        <v>452</v>
      </c>
      <c r="U229" s="33">
        <v>46146</v>
      </c>
    </row>
    <row r="230" spans="1:21" ht="15" customHeight="1">
      <c r="A230" s="48">
        <v>3</v>
      </c>
      <c r="B230" s="40">
        <v>46088</v>
      </c>
      <c r="C230" s="41" t="s">
        <v>240</v>
      </c>
      <c r="D230" s="41" t="s">
        <v>7</v>
      </c>
      <c r="E230" s="49" t="s">
        <v>316</v>
      </c>
      <c r="F230" s="41" t="s">
        <v>329</v>
      </c>
      <c r="G230" s="41" t="s">
        <v>241</v>
      </c>
      <c r="H230" s="41" t="s">
        <v>479</v>
      </c>
      <c r="I230" s="41" t="s">
        <v>226</v>
      </c>
      <c r="J230" s="46" t="str">
        <f>VLOOKUP(I230,'DESCRICAO PRODUTO'!$A:$C,2,0)</f>
        <v>TORRE DE SOM TM-1200 BIV</v>
      </c>
      <c r="K230" s="41" t="str">
        <f>VLOOKUP(I230,'DESCRICAO PRODUTO'!$A:$C,3,0)</f>
        <v>TM1200</v>
      </c>
      <c r="L230" s="47">
        <v>128</v>
      </c>
      <c r="M230" s="58">
        <v>128</v>
      </c>
      <c r="N230" s="51">
        <f t="shared" si="3"/>
        <v>0</v>
      </c>
      <c r="O230" s="40">
        <v>46100</v>
      </c>
      <c r="P230" s="40">
        <v>46122</v>
      </c>
      <c r="Q230" s="34" t="s">
        <v>455</v>
      </c>
      <c r="R230" s="8"/>
      <c r="S230" s="18">
        <v>29917</v>
      </c>
      <c r="T230" s="18" t="s">
        <v>452</v>
      </c>
      <c r="U230" s="33">
        <v>46146</v>
      </c>
    </row>
    <row r="231" spans="1:21" ht="15" customHeight="1">
      <c r="A231" s="48">
        <v>3</v>
      </c>
      <c r="B231" s="40">
        <v>46088</v>
      </c>
      <c r="C231" s="41" t="s">
        <v>240</v>
      </c>
      <c r="D231" s="41" t="s">
        <v>7</v>
      </c>
      <c r="E231" s="49" t="s">
        <v>161</v>
      </c>
      <c r="F231" s="41" t="s">
        <v>192</v>
      </c>
      <c r="G231" s="41" t="s">
        <v>241</v>
      </c>
      <c r="H231" s="41" t="s">
        <v>479</v>
      </c>
      <c r="I231" s="41" t="s">
        <v>160</v>
      </c>
      <c r="J231" s="46" t="str">
        <f>VLOOKUP(I231,'DESCRICAO PRODUTO'!$A:$C,2,0)</f>
        <v>TORRE DE SOM TM2200 BIV</v>
      </c>
      <c r="K231" s="41" t="str">
        <f>VLOOKUP(I231,'DESCRICAO PRODUTO'!$A:$C,3,0)</f>
        <v>TM2200</v>
      </c>
      <c r="L231" s="47">
        <v>87</v>
      </c>
      <c r="M231" s="58">
        <v>87</v>
      </c>
      <c r="N231" s="51">
        <f t="shared" si="3"/>
        <v>0</v>
      </c>
      <c r="O231" s="40">
        <v>46100</v>
      </c>
      <c r="P231" s="40">
        <v>46122</v>
      </c>
      <c r="Q231" s="34" t="s">
        <v>455</v>
      </c>
      <c r="R231" s="18"/>
      <c r="S231" s="18">
        <v>29918</v>
      </c>
      <c r="T231" s="18" t="s">
        <v>452</v>
      </c>
      <c r="U231" s="33">
        <v>46146</v>
      </c>
    </row>
    <row r="232" spans="1:21" ht="15" customHeight="1">
      <c r="A232" s="48">
        <v>3</v>
      </c>
      <c r="B232" s="40">
        <v>46088</v>
      </c>
      <c r="C232" s="41" t="s">
        <v>240</v>
      </c>
      <c r="D232" s="41" t="s">
        <v>7</v>
      </c>
      <c r="E232" s="49" t="s">
        <v>317</v>
      </c>
      <c r="F232" s="41" t="s">
        <v>184</v>
      </c>
      <c r="G232" s="41" t="s">
        <v>241</v>
      </c>
      <c r="H232" s="41" t="s">
        <v>479</v>
      </c>
      <c r="I232" s="41" t="s">
        <v>90</v>
      </c>
      <c r="J232" s="46" t="str">
        <f>VLOOKUP(I232,'DESCRICAO PRODUTO'!$A:$C,2,0)</f>
        <v>TV 32 ANDROID BORD INF AWS-TV-32-BL-02-A</v>
      </c>
      <c r="K232" s="41" t="str">
        <f>VLOOKUP(I232,'DESCRICAO PRODUTO'!$A:$C,3,0)</f>
        <v>TV 32 ANDROID</v>
      </c>
      <c r="L232" s="47">
        <v>1049</v>
      </c>
      <c r="M232" s="58">
        <v>1049</v>
      </c>
      <c r="N232" s="51">
        <f t="shared" si="3"/>
        <v>0</v>
      </c>
      <c r="O232" s="40">
        <v>46100</v>
      </c>
      <c r="P232" s="40">
        <v>46104</v>
      </c>
      <c r="Q232" s="34" t="s">
        <v>455</v>
      </c>
      <c r="R232" s="18"/>
      <c r="S232" s="18">
        <v>29809</v>
      </c>
      <c r="T232" s="18" t="s">
        <v>336</v>
      </c>
      <c r="U232" s="33">
        <v>46124</v>
      </c>
    </row>
    <row r="233" spans="1:21" ht="15" customHeight="1">
      <c r="A233" s="48">
        <v>3</v>
      </c>
      <c r="B233" s="40">
        <v>46088</v>
      </c>
      <c r="C233" s="41" t="s">
        <v>240</v>
      </c>
      <c r="D233" s="41" t="s">
        <v>7</v>
      </c>
      <c r="E233" s="49" t="s">
        <v>330</v>
      </c>
      <c r="F233" s="41" t="s">
        <v>30</v>
      </c>
      <c r="G233" s="41" t="s">
        <v>241</v>
      </c>
      <c r="H233" s="41" t="s">
        <v>479</v>
      </c>
      <c r="I233" s="41" t="s">
        <v>93</v>
      </c>
      <c r="J233" s="46" t="str">
        <f>VLOOKUP(I233,'DESCRICAO PRODUTO'!$A:$C,2,0)</f>
        <v>TV 43 ANDROID BORD INF AWS-TV-43-BL-02-A</v>
      </c>
      <c r="K233" s="41" t="str">
        <f>VLOOKUP(I233,'DESCRICAO PRODUTO'!$A:$C,3,0)</f>
        <v>TV 43 ANDROID</v>
      </c>
      <c r="L233" s="47">
        <v>250</v>
      </c>
      <c r="M233" s="58">
        <v>250</v>
      </c>
      <c r="N233" s="51">
        <f t="shared" si="3"/>
        <v>0</v>
      </c>
      <c r="O233" s="40">
        <v>46153</v>
      </c>
      <c r="P233" s="40">
        <v>46160</v>
      </c>
      <c r="Q233" s="34" t="s">
        <v>455</v>
      </c>
      <c r="R233" s="18"/>
      <c r="S233" s="18">
        <v>30320</v>
      </c>
      <c r="T233" s="18" t="s">
        <v>463</v>
      </c>
      <c r="U233" s="33">
        <v>46184</v>
      </c>
    </row>
    <row r="234" spans="1:21" ht="15" customHeight="1">
      <c r="A234" s="48">
        <v>3</v>
      </c>
      <c r="B234" s="40">
        <v>46088</v>
      </c>
      <c r="C234" s="41" t="s">
        <v>240</v>
      </c>
      <c r="D234" s="41" t="s">
        <v>7</v>
      </c>
      <c r="E234" s="49" t="s">
        <v>235</v>
      </c>
      <c r="F234" s="41" t="s">
        <v>188</v>
      </c>
      <c r="G234" s="41" t="s">
        <v>241</v>
      </c>
      <c r="H234" s="41" t="s">
        <v>479</v>
      </c>
      <c r="I234" s="41" t="s">
        <v>139</v>
      </c>
      <c r="J234" s="46" t="str">
        <f>VLOOKUP(I234,'DESCRICAO PRODUTO'!$A:$C,2,0)</f>
        <v>TV 50 ANDROID BORD INF AWS-TV-50-BL-02-A</v>
      </c>
      <c r="K234" s="41" t="str">
        <f>VLOOKUP(I234,'DESCRICAO PRODUTO'!$A:$C,3,0)</f>
        <v>TV 50 ANDROID</v>
      </c>
      <c r="L234" s="47">
        <v>53</v>
      </c>
      <c r="M234" s="58">
        <v>53</v>
      </c>
      <c r="N234" s="51">
        <f t="shared" si="3"/>
        <v>0</v>
      </c>
      <c r="O234" s="40">
        <v>46100</v>
      </c>
      <c r="P234" s="40">
        <v>46104</v>
      </c>
      <c r="Q234" s="34" t="s">
        <v>455</v>
      </c>
      <c r="R234" s="18"/>
      <c r="S234" s="18">
        <v>29809</v>
      </c>
      <c r="T234" s="18" t="s">
        <v>336</v>
      </c>
      <c r="U234" s="33">
        <v>46124</v>
      </c>
    </row>
    <row r="235" spans="1:21" ht="15" customHeight="1">
      <c r="A235" s="48">
        <v>3</v>
      </c>
      <c r="B235" s="40">
        <v>46088</v>
      </c>
      <c r="C235" s="40" t="s">
        <v>240</v>
      </c>
      <c r="D235" s="40" t="s">
        <v>7</v>
      </c>
      <c r="E235" s="49" t="s">
        <v>236</v>
      </c>
      <c r="F235" s="41" t="s">
        <v>38</v>
      </c>
      <c r="G235" s="41" t="s">
        <v>241</v>
      </c>
      <c r="H235" s="41" t="s">
        <v>479</v>
      </c>
      <c r="I235" s="41" t="s">
        <v>95</v>
      </c>
      <c r="J235" s="46" t="str">
        <f>VLOOKUP(I235,'DESCRICAO PRODUTO'!$A:$C,2,0)</f>
        <v>TV 55 ANDROID AWS-TV-55-BL-01</v>
      </c>
      <c r="K235" s="41" t="str">
        <f>VLOOKUP(I235,'DESCRICAO PRODUTO'!$A:$C,3,0)</f>
        <v>TV 55 ANDROID</v>
      </c>
      <c r="L235" s="47">
        <v>135</v>
      </c>
      <c r="M235" s="58">
        <v>135</v>
      </c>
      <c r="N235" s="51">
        <f t="shared" si="3"/>
        <v>0</v>
      </c>
      <c r="O235" s="40">
        <v>46100</v>
      </c>
      <c r="P235" s="40">
        <v>46104</v>
      </c>
      <c r="Q235" s="34" t="s">
        <v>455</v>
      </c>
      <c r="R235" s="18"/>
      <c r="S235" s="18">
        <v>29809</v>
      </c>
      <c r="T235" s="18" t="s">
        <v>336</v>
      </c>
      <c r="U235" s="33">
        <v>46124</v>
      </c>
    </row>
    <row r="236" spans="1:21" ht="15" customHeight="1">
      <c r="A236" s="48">
        <v>3</v>
      </c>
      <c r="B236" s="40">
        <v>46088</v>
      </c>
      <c r="C236" s="40" t="s">
        <v>240</v>
      </c>
      <c r="D236" s="40" t="s">
        <v>7</v>
      </c>
      <c r="E236" s="49" t="s">
        <v>236</v>
      </c>
      <c r="F236" s="41" t="s">
        <v>38</v>
      </c>
      <c r="G236" s="41" t="s">
        <v>241</v>
      </c>
      <c r="H236" s="41" t="s">
        <v>479</v>
      </c>
      <c r="I236" s="41" t="s">
        <v>26</v>
      </c>
      <c r="J236" s="46" t="str">
        <f>VLOOKUP(I236,'DESCRICAO PRODUTO'!$A:$C,2,0)</f>
        <v>TV 55 ANDROID AWS-TV-55-BL-01</v>
      </c>
      <c r="K236" s="41" t="str">
        <f>VLOOKUP(I236,'DESCRICAO PRODUTO'!$A:$C,3,0)</f>
        <v>TV 55 ANDROID</v>
      </c>
      <c r="L236" s="47">
        <v>24</v>
      </c>
      <c r="M236" s="58">
        <v>24</v>
      </c>
      <c r="N236" s="51">
        <f t="shared" si="3"/>
        <v>0</v>
      </c>
      <c r="O236" s="40">
        <v>46100</v>
      </c>
      <c r="P236" s="40">
        <v>46122</v>
      </c>
      <c r="Q236" s="34" t="s">
        <v>455</v>
      </c>
      <c r="R236" s="18"/>
      <c r="S236" s="18">
        <v>29913</v>
      </c>
      <c r="T236" s="18" t="s">
        <v>452</v>
      </c>
      <c r="U236" s="33">
        <v>46146</v>
      </c>
    </row>
    <row r="237" spans="1:21" ht="15" customHeight="1">
      <c r="A237" s="48">
        <v>3</v>
      </c>
      <c r="B237" s="40">
        <v>46088</v>
      </c>
      <c r="C237" s="40" t="s">
        <v>240</v>
      </c>
      <c r="D237" s="40" t="s">
        <v>7</v>
      </c>
      <c r="E237" s="49" t="s">
        <v>318</v>
      </c>
      <c r="F237" s="41" t="s">
        <v>189</v>
      </c>
      <c r="G237" s="41" t="s">
        <v>241</v>
      </c>
      <c r="H237" s="41" t="s">
        <v>479</v>
      </c>
      <c r="I237" s="41" t="s">
        <v>137</v>
      </c>
      <c r="J237" s="46" t="str">
        <f>VLOOKUP(I237,'DESCRICAO PRODUTO'!$A:$C,2,0)</f>
        <v>TV 65 GOOGLE INF AWS-TV-65-BL-01-G</v>
      </c>
      <c r="K237" s="41" t="str">
        <f>VLOOKUP(I237,'DESCRICAO PRODUTO'!$A:$C,3,0)</f>
        <v>TV 65</v>
      </c>
      <c r="L237" s="47">
        <v>1</v>
      </c>
      <c r="M237" s="58">
        <v>1</v>
      </c>
      <c r="N237" s="51">
        <f t="shared" si="3"/>
        <v>0</v>
      </c>
      <c r="O237" s="40">
        <v>46100</v>
      </c>
      <c r="P237" s="40">
        <v>46108</v>
      </c>
      <c r="Q237" s="34" t="s">
        <v>455</v>
      </c>
      <c r="R237" s="18"/>
      <c r="S237" s="18">
        <v>29860</v>
      </c>
      <c r="T237" s="18" t="s">
        <v>341</v>
      </c>
      <c r="U237" s="33">
        <v>46128</v>
      </c>
    </row>
    <row r="238" spans="1:21" ht="15" customHeight="1">
      <c r="A238" s="48">
        <v>3</v>
      </c>
      <c r="B238" s="40">
        <v>46088</v>
      </c>
      <c r="C238" s="41" t="s">
        <v>240</v>
      </c>
      <c r="D238" s="41" t="s">
        <v>7</v>
      </c>
      <c r="E238" s="49" t="s">
        <v>511</v>
      </c>
      <c r="F238" s="41" t="s">
        <v>201</v>
      </c>
      <c r="G238" s="41" t="s">
        <v>233</v>
      </c>
      <c r="H238" s="41" t="s">
        <v>482</v>
      </c>
      <c r="I238" s="41" t="s">
        <v>80</v>
      </c>
      <c r="J238" s="46" t="str">
        <f>VLOOKUP(I238,'DESCRICAO PRODUTO'!$A:$C,2,0)</f>
        <v>MICRO-ONDAS MO-02-34-E 127V/60HZ .</v>
      </c>
      <c r="K238" s="41" t="str">
        <f>VLOOKUP(I238,'DESCRICAO PRODUTO'!$A:$C,3,0)</f>
        <v>MO 34L</v>
      </c>
      <c r="L238" s="47">
        <v>160</v>
      </c>
      <c r="M238" s="58">
        <v>160</v>
      </c>
      <c r="N238" s="51">
        <f t="shared" si="3"/>
        <v>0</v>
      </c>
      <c r="O238" s="40">
        <v>46241</v>
      </c>
      <c r="P238" s="40">
        <v>46245</v>
      </c>
      <c r="Q238" s="34" t="s">
        <v>455</v>
      </c>
      <c r="R238" s="18" t="s">
        <v>515</v>
      </c>
      <c r="S238" s="18">
        <v>31173</v>
      </c>
      <c r="T238" s="18" t="s">
        <v>519</v>
      </c>
      <c r="U238" s="33">
        <v>46260</v>
      </c>
    </row>
    <row r="239" spans="1:21" ht="15" customHeight="1">
      <c r="A239" s="48">
        <v>3</v>
      </c>
      <c r="B239" s="40">
        <v>46088</v>
      </c>
      <c r="C239" s="41" t="s">
        <v>240</v>
      </c>
      <c r="D239" s="41" t="s">
        <v>7</v>
      </c>
      <c r="E239" s="49" t="s">
        <v>511</v>
      </c>
      <c r="F239" s="41" t="s">
        <v>201</v>
      </c>
      <c r="G239" s="41" t="s">
        <v>233</v>
      </c>
      <c r="H239" s="41" t="s">
        <v>482</v>
      </c>
      <c r="I239" s="41" t="s">
        <v>80</v>
      </c>
      <c r="J239" s="46" t="str">
        <f>VLOOKUP(I239,'DESCRICAO PRODUTO'!$A:$C,2,0)</f>
        <v>MICRO-ONDAS MO-02-34-E 127V/60HZ .</v>
      </c>
      <c r="K239" s="41" t="str">
        <f>VLOOKUP(I239,'DESCRICAO PRODUTO'!$A:$C,3,0)</f>
        <v>MO 34L</v>
      </c>
      <c r="L239" s="47">
        <v>2</v>
      </c>
      <c r="M239" s="58">
        <v>4</v>
      </c>
      <c r="N239" s="51">
        <f t="shared" si="3"/>
        <v>2</v>
      </c>
      <c r="O239" s="40">
        <v>46252</v>
      </c>
      <c r="P239" s="40">
        <v>46253</v>
      </c>
      <c r="Q239" s="34" t="s">
        <v>455</v>
      </c>
      <c r="R239" s="18" t="s">
        <v>539</v>
      </c>
      <c r="S239" s="18">
        <v>31242</v>
      </c>
      <c r="T239" s="18" t="s">
        <v>559</v>
      </c>
      <c r="U239" s="33">
        <v>46269</v>
      </c>
    </row>
    <row r="240" spans="1:21" ht="15" customHeight="1">
      <c r="A240" s="48">
        <v>3</v>
      </c>
      <c r="B240" s="40">
        <v>46088</v>
      </c>
      <c r="C240" s="41" t="s">
        <v>240</v>
      </c>
      <c r="D240" s="41" t="s">
        <v>7</v>
      </c>
      <c r="E240" s="49" t="s">
        <v>510</v>
      </c>
      <c r="F240" s="41" t="s">
        <v>198</v>
      </c>
      <c r="G240" s="41" t="s">
        <v>233</v>
      </c>
      <c r="H240" s="41" t="s">
        <v>482</v>
      </c>
      <c r="I240" s="41" t="s">
        <v>80</v>
      </c>
      <c r="J240" s="46" t="str">
        <f>VLOOKUP(I240,'DESCRICAO PRODUTO'!$A:$C,2,0)</f>
        <v>MICRO-ONDAS MO-02-34-E 127V/60HZ .</v>
      </c>
      <c r="K240" s="41" t="str">
        <f>VLOOKUP(I240,'DESCRICAO PRODUTO'!$A:$C,3,0)</f>
        <v>MO 34L</v>
      </c>
      <c r="L240" s="47">
        <v>2</v>
      </c>
      <c r="M240" s="58">
        <v>4</v>
      </c>
      <c r="N240" s="51">
        <f t="shared" si="3"/>
        <v>2</v>
      </c>
      <c r="O240" s="40">
        <v>46252</v>
      </c>
      <c r="P240" s="40">
        <v>46253</v>
      </c>
      <c r="Q240" s="34" t="s">
        <v>455</v>
      </c>
      <c r="R240" s="18" t="s">
        <v>539</v>
      </c>
      <c r="S240" s="18">
        <v>31242</v>
      </c>
      <c r="T240" s="18" t="s">
        <v>559</v>
      </c>
      <c r="U240" s="33">
        <v>46269</v>
      </c>
    </row>
    <row r="241" spans="1:21" ht="15" customHeight="1">
      <c r="A241" s="39">
        <v>4</v>
      </c>
      <c r="B241" s="40">
        <v>46107</v>
      </c>
      <c r="C241" s="40" t="s">
        <v>338</v>
      </c>
      <c r="D241" s="40" t="s">
        <v>339</v>
      </c>
      <c r="E241" s="49" t="s">
        <v>113</v>
      </c>
      <c r="F241" s="41" t="s">
        <v>182</v>
      </c>
      <c r="G241" s="41" t="s">
        <v>241</v>
      </c>
      <c r="H241" s="41" t="s">
        <v>479</v>
      </c>
      <c r="I241" s="41" t="s">
        <v>43</v>
      </c>
      <c r="J241" s="46" t="str">
        <f>VLOOKUP(I241,'DESCRICAO PRODUTO'!$A:$C,2,0)</f>
        <v>CAIXA AMPLIFICADA CM-400 BIVOLT .</v>
      </c>
      <c r="K241" s="41" t="s">
        <v>492</v>
      </c>
      <c r="L241" s="47">
        <v>500</v>
      </c>
      <c r="M241" s="58">
        <v>500</v>
      </c>
      <c r="N241" s="51">
        <f t="shared" si="3"/>
        <v>0</v>
      </c>
      <c r="O241" s="40">
        <v>46153</v>
      </c>
      <c r="P241" s="40">
        <v>46160</v>
      </c>
      <c r="Q241" s="34" t="s">
        <v>455</v>
      </c>
      <c r="R241" s="18"/>
      <c r="S241" s="18">
        <v>30303</v>
      </c>
      <c r="T241" s="18" t="s">
        <v>463</v>
      </c>
      <c r="U241" s="33">
        <v>46184</v>
      </c>
    </row>
    <row r="242" spans="1:21" ht="15" customHeight="1">
      <c r="A242" s="39">
        <v>4</v>
      </c>
      <c r="B242" s="40">
        <v>46107</v>
      </c>
      <c r="C242" s="40" t="s">
        <v>338</v>
      </c>
      <c r="D242" s="40" t="s">
        <v>339</v>
      </c>
      <c r="E242" s="49" t="s">
        <v>31</v>
      </c>
      <c r="F242" s="41" t="s">
        <v>32</v>
      </c>
      <c r="G242" s="41" t="s">
        <v>241</v>
      </c>
      <c r="H242" s="41" t="s">
        <v>479</v>
      </c>
      <c r="I242" s="41" t="s">
        <v>23</v>
      </c>
      <c r="J242" s="46" t="str">
        <f>VLOOKUP(I242,'DESCRICAO PRODUTO'!$A:$C,2,0)</f>
        <v>CAIXA AMPLIFICADA CM-700 BIVOLT .</v>
      </c>
      <c r="K242" s="41" t="str">
        <f>VLOOKUP(I242,'DESCRICAO PRODUTO'!$A:$C,3,0)</f>
        <v>CM 700</v>
      </c>
      <c r="L242" s="47">
        <v>400</v>
      </c>
      <c r="M242" s="58">
        <v>400</v>
      </c>
      <c r="N242" s="51">
        <f t="shared" si="3"/>
        <v>0</v>
      </c>
      <c r="O242" s="40">
        <v>46188</v>
      </c>
      <c r="P242" s="40">
        <v>46192</v>
      </c>
      <c r="Q242" s="34" t="s">
        <v>455</v>
      </c>
      <c r="R242" s="18"/>
      <c r="S242" s="18">
        <v>30717</v>
      </c>
      <c r="T242" s="18" t="s">
        <v>477</v>
      </c>
      <c r="U242" s="33">
        <v>46216</v>
      </c>
    </row>
    <row r="243" spans="1:21" ht="15" customHeight="1">
      <c r="A243" s="39">
        <v>4</v>
      </c>
      <c r="B243" s="40">
        <v>46107</v>
      </c>
      <c r="C243" s="40" t="s">
        <v>338</v>
      </c>
      <c r="D243" s="40" t="s">
        <v>339</v>
      </c>
      <c r="E243" s="49" t="s">
        <v>449</v>
      </c>
      <c r="F243" s="41" t="s">
        <v>451</v>
      </c>
      <c r="G243" s="41" t="s">
        <v>233</v>
      </c>
      <c r="H243" s="41" t="s">
        <v>481</v>
      </c>
      <c r="I243" s="41" t="s">
        <v>23</v>
      </c>
      <c r="J243" s="46" t="str">
        <f>VLOOKUP(I243,'DESCRICAO PRODUTO'!$A:$C,2,0)</f>
        <v>CAIXA AMPLIFICADA CM-700 BIVOLT .</v>
      </c>
      <c r="K243" s="41" t="str">
        <f>VLOOKUP(I243,'DESCRICAO PRODUTO'!$A:$C,3,0)</f>
        <v>CM 700</v>
      </c>
      <c r="L243" s="47">
        <v>400</v>
      </c>
      <c r="M243" s="58">
        <v>400</v>
      </c>
      <c r="N243" s="51">
        <f t="shared" si="3"/>
        <v>0</v>
      </c>
      <c r="O243" s="40">
        <v>46188</v>
      </c>
      <c r="P243" s="40">
        <v>46192</v>
      </c>
      <c r="Q243" s="34" t="s">
        <v>455</v>
      </c>
      <c r="R243" s="18"/>
      <c r="S243" s="18">
        <v>30717</v>
      </c>
      <c r="T243" s="18" t="s">
        <v>477</v>
      </c>
      <c r="U243" s="33">
        <v>46216</v>
      </c>
    </row>
    <row r="244" spans="1:21" ht="15" customHeight="1">
      <c r="A244" s="39">
        <v>4</v>
      </c>
      <c r="B244" s="40">
        <v>46107</v>
      </c>
      <c r="C244" s="40" t="s">
        <v>338</v>
      </c>
      <c r="D244" s="40" t="s">
        <v>339</v>
      </c>
      <c r="E244" s="49" t="s">
        <v>305</v>
      </c>
      <c r="F244" s="41" t="s">
        <v>39</v>
      </c>
      <c r="G244" s="41" t="s">
        <v>241</v>
      </c>
      <c r="H244" s="41" t="s">
        <v>479</v>
      </c>
      <c r="I244" s="41" t="s">
        <v>50</v>
      </c>
      <c r="J244" s="46" t="str">
        <f>VLOOKUP(I244,'DESCRICAO PRODUTO'!$A:$C,2,0)</f>
        <v>CAIXA AMPLIFICADA CM-550 BIVOLT .</v>
      </c>
      <c r="K244" s="41" t="str">
        <f>VLOOKUP(I244,'DESCRICAO PRODUTO'!$A:$C,3,0)</f>
        <v>CM 550</v>
      </c>
      <c r="L244" s="47">
        <v>500</v>
      </c>
      <c r="M244" s="58">
        <v>500</v>
      </c>
      <c r="N244" s="51">
        <f t="shared" si="3"/>
        <v>0</v>
      </c>
      <c r="O244" s="40">
        <v>46198</v>
      </c>
      <c r="P244" s="40">
        <v>46204</v>
      </c>
      <c r="Q244" s="34" t="s">
        <v>455</v>
      </c>
      <c r="R244" s="18"/>
      <c r="S244" s="18">
        <v>30874</v>
      </c>
      <c r="T244" s="18" t="s">
        <v>488</v>
      </c>
      <c r="U244" s="33">
        <v>46228</v>
      </c>
    </row>
    <row r="245" spans="1:21" ht="15" customHeight="1">
      <c r="A245" s="39">
        <v>4</v>
      </c>
      <c r="B245" s="40">
        <v>46107</v>
      </c>
      <c r="C245" s="40" t="s">
        <v>338</v>
      </c>
      <c r="D245" s="40" t="s">
        <v>339</v>
      </c>
      <c r="E245" s="49" t="s">
        <v>205</v>
      </c>
      <c r="F245" s="41" t="s">
        <v>206</v>
      </c>
      <c r="G245" s="41" t="s">
        <v>241</v>
      </c>
      <c r="H245" s="41" t="s">
        <v>479</v>
      </c>
      <c r="I245" s="41" t="s">
        <v>199</v>
      </c>
      <c r="J245" s="46" t="str">
        <f>VLOOKUP(I245,'DESCRICAO PRODUTO'!$A:$C,2,0)</f>
        <v>CAIXA AMPLIFICADA CM-550-L BIVOLT .</v>
      </c>
      <c r="K245" s="41" t="str">
        <f>VLOOKUP(I245,'DESCRICAO PRODUTO'!$A:$C,3,0)</f>
        <v>CM 550L</v>
      </c>
      <c r="L245" s="47">
        <v>500</v>
      </c>
      <c r="M245" s="50">
        <v>500</v>
      </c>
      <c r="N245" s="51">
        <f t="shared" si="3"/>
        <v>0</v>
      </c>
      <c r="O245" s="40">
        <v>46153</v>
      </c>
      <c r="P245" s="40">
        <v>46160</v>
      </c>
      <c r="Q245" s="34" t="s">
        <v>455</v>
      </c>
      <c r="R245" s="18"/>
      <c r="S245" s="18">
        <v>30303</v>
      </c>
      <c r="T245" s="18" t="s">
        <v>463</v>
      </c>
      <c r="U245" s="33">
        <v>46184</v>
      </c>
    </row>
    <row r="246" spans="1:21" ht="15" customHeight="1">
      <c r="A246" s="39">
        <v>4</v>
      </c>
      <c r="B246" s="40">
        <v>46107</v>
      </c>
      <c r="C246" s="40" t="s">
        <v>338</v>
      </c>
      <c r="D246" s="40" t="s">
        <v>339</v>
      </c>
      <c r="E246" s="49" t="s">
        <v>509</v>
      </c>
      <c r="F246" s="41" t="s">
        <v>33</v>
      </c>
      <c r="G246" s="41" t="s">
        <v>241</v>
      </c>
      <c r="H246" s="41" t="s">
        <v>479</v>
      </c>
      <c r="I246" s="41" t="s">
        <v>24</v>
      </c>
      <c r="J246" s="46" t="str">
        <f>VLOOKUP(I246,'DESCRICAO PRODUTO'!$A:$C,2,0)</f>
        <v>BOOMBOX AWS-BBS-01-B BIVOLT</v>
      </c>
      <c r="K246" s="41" t="str">
        <f>VLOOKUP(I246,'DESCRICAO PRODUTO'!$A:$C,3,0)</f>
        <v>BBS PRETO</v>
      </c>
      <c r="L246" s="47">
        <v>900</v>
      </c>
      <c r="M246" s="58">
        <v>900</v>
      </c>
      <c r="N246" s="51">
        <f t="shared" si="3"/>
        <v>0</v>
      </c>
      <c r="O246" s="40">
        <v>46188</v>
      </c>
      <c r="P246" s="40">
        <v>46192</v>
      </c>
      <c r="Q246" s="34" t="s">
        <v>455</v>
      </c>
      <c r="R246" s="18"/>
      <c r="S246" s="18">
        <v>30717</v>
      </c>
      <c r="T246" s="18" t="s">
        <v>477</v>
      </c>
      <c r="U246" s="33">
        <v>46216</v>
      </c>
    </row>
    <row r="247" spans="1:21" ht="15" customHeight="1">
      <c r="A247" s="39">
        <v>4</v>
      </c>
      <c r="B247" s="40">
        <v>46107</v>
      </c>
      <c r="C247" s="40" t="s">
        <v>338</v>
      </c>
      <c r="D247" s="40" t="s">
        <v>339</v>
      </c>
      <c r="E247" s="49" t="s">
        <v>123</v>
      </c>
      <c r="F247" s="41" t="s">
        <v>183</v>
      </c>
      <c r="G247" s="41" t="s">
        <v>241</v>
      </c>
      <c r="H247" s="41" t="s">
        <v>479</v>
      </c>
      <c r="I247" s="41" t="s">
        <v>86</v>
      </c>
      <c r="J247" s="46" t="str">
        <f>VLOOKUP(I247,'DESCRICAO PRODUTO'!$A:$C,2,0)</f>
        <v>BOOMBOX C/ LUZES AWS-BBS-01-LBL BIVOLT</v>
      </c>
      <c r="K247" s="41" t="str">
        <f>VLOOKUP(I247,'DESCRICAO PRODUTO'!$A:$C,3,0)</f>
        <v>BBS LBL</v>
      </c>
      <c r="L247" s="47">
        <v>200</v>
      </c>
      <c r="M247" s="58">
        <v>200</v>
      </c>
      <c r="N247" s="51">
        <f t="shared" si="3"/>
        <v>0</v>
      </c>
      <c r="O247" s="40">
        <v>46153</v>
      </c>
      <c r="P247" s="40">
        <v>46160</v>
      </c>
      <c r="Q247" s="34" t="s">
        <v>455</v>
      </c>
      <c r="R247" s="18"/>
      <c r="S247" s="18">
        <v>30303</v>
      </c>
      <c r="T247" s="18" t="s">
        <v>463</v>
      </c>
      <c r="U247" s="33">
        <v>46184</v>
      </c>
    </row>
    <row r="248" spans="1:21" ht="15" customHeight="1">
      <c r="A248" s="39">
        <v>4</v>
      </c>
      <c r="B248" s="40">
        <v>46107</v>
      </c>
      <c r="C248" s="40" t="s">
        <v>338</v>
      </c>
      <c r="D248" s="40" t="s">
        <v>339</v>
      </c>
      <c r="E248" s="49" t="s">
        <v>35</v>
      </c>
      <c r="F248" s="41" t="s">
        <v>36</v>
      </c>
      <c r="G248" s="41" t="s">
        <v>241</v>
      </c>
      <c r="H248" s="41" t="s">
        <v>479</v>
      </c>
      <c r="I248" s="41" t="s">
        <v>25</v>
      </c>
      <c r="J248" s="46" t="str">
        <f>VLOOKUP(I248,'DESCRICAO PRODUTO'!$A:$C,2,0)</f>
        <v>CAIXA AMPLIFICADA CM-150 BIVOLT .</v>
      </c>
      <c r="K248" s="41" t="str">
        <f>VLOOKUP(I248,'DESCRICAO PRODUTO'!$A:$C,3,0)</f>
        <v>CM150</v>
      </c>
      <c r="L248" s="47">
        <v>300</v>
      </c>
      <c r="M248" s="58">
        <v>300</v>
      </c>
      <c r="N248" s="51">
        <f t="shared" si="3"/>
        <v>0</v>
      </c>
      <c r="O248" s="40">
        <v>46153</v>
      </c>
      <c r="P248" s="40">
        <v>46160</v>
      </c>
      <c r="Q248" s="34" t="s">
        <v>455</v>
      </c>
      <c r="R248" s="18"/>
      <c r="S248" s="18">
        <v>30303</v>
      </c>
      <c r="T248" s="18" t="s">
        <v>463</v>
      </c>
      <c r="U248" s="33">
        <v>46184</v>
      </c>
    </row>
    <row r="249" spans="1:21" ht="15" customHeight="1">
      <c r="A249" s="39">
        <v>5</v>
      </c>
      <c r="B249" s="40">
        <v>46129</v>
      </c>
      <c r="C249" s="40" t="s">
        <v>456</v>
      </c>
      <c r="D249" s="40" t="s">
        <v>457</v>
      </c>
      <c r="E249" s="49" t="s">
        <v>458</v>
      </c>
      <c r="F249" s="41" t="s">
        <v>459</v>
      </c>
      <c r="G249" s="41" t="s">
        <v>233</v>
      </c>
      <c r="H249" s="41" t="s">
        <v>483</v>
      </c>
      <c r="I249" s="41" t="s">
        <v>137</v>
      </c>
      <c r="J249" s="46" t="str">
        <f>VLOOKUP(I249,'DESCRICAO PRODUTO'!$A:$C,2,0)</f>
        <v>TV 65 GOOGLE INF AWS-TV-65-BL-01-G</v>
      </c>
      <c r="K249" s="41" t="str">
        <f>VLOOKUP(I249,'DESCRICAO PRODUTO'!$A:$C,3,0)</f>
        <v>TV 65</v>
      </c>
      <c r="L249" s="58">
        <v>12</v>
      </c>
      <c r="M249" s="58">
        <v>12</v>
      </c>
      <c r="N249" s="51">
        <f t="shared" si="3"/>
        <v>0</v>
      </c>
      <c r="O249" s="40">
        <v>46129</v>
      </c>
      <c r="P249" s="40">
        <v>46136</v>
      </c>
      <c r="Q249" s="34" t="s">
        <v>455</v>
      </c>
      <c r="R249" s="56"/>
      <c r="S249" s="18">
        <v>30098</v>
      </c>
      <c r="T249" s="18" t="s">
        <v>454</v>
      </c>
      <c r="U249" s="33">
        <v>46162</v>
      </c>
    </row>
    <row r="250" spans="1:21" ht="15" customHeight="1">
      <c r="A250" s="39">
        <v>6</v>
      </c>
      <c r="B250" s="40">
        <v>46134</v>
      </c>
      <c r="C250" s="40" t="s">
        <v>460</v>
      </c>
      <c r="D250" s="40" t="s">
        <v>7</v>
      </c>
      <c r="E250" s="49" t="s">
        <v>317</v>
      </c>
      <c r="F250" s="41" t="s">
        <v>184</v>
      </c>
      <c r="G250" s="41" t="s">
        <v>241</v>
      </c>
      <c r="H250" s="41" t="s">
        <v>479</v>
      </c>
      <c r="I250" s="41" t="s">
        <v>141</v>
      </c>
      <c r="J250" s="46" t="str">
        <f>VLOOKUP(I250,'DESCRICAO PRODUTO'!$A:$C,2,0)</f>
        <v>TV 32 ANDROID BORD INF AWS-TV-32-BL-02-A</v>
      </c>
      <c r="K250" s="41" t="str">
        <f>VLOOKUP(I250,'DESCRICAO PRODUTO'!$A:$C,3,0)</f>
        <v>TV 32 ANDROID</v>
      </c>
      <c r="L250" s="47">
        <v>397</v>
      </c>
      <c r="M250" s="58">
        <v>397</v>
      </c>
      <c r="N250" s="51">
        <f t="shared" si="3"/>
        <v>0</v>
      </c>
      <c r="O250" s="40">
        <v>46153</v>
      </c>
      <c r="P250" s="40">
        <v>46160</v>
      </c>
      <c r="Q250" s="34" t="s">
        <v>455</v>
      </c>
      <c r="R250" s="18"/>
      <c r="S250" s="18">
        <v>30320</v>
      </c>
      <c r="T250" s="18" t="s">
        <v>463</v>
      </c>
      <c r="U250" s="33">
        <v>46184</v>
      </c>
    </row>
    <row r="251" spans="1:21" ht="15" customHeight="1">
      <c r="A251" s="39">
        <v>6</v>
      </c>
      <c r="B251" s="40">
        <v>46134</v>
      </c>
      <c r="C251" s="40" t="s">
        <v>460</v>
      </c>
      <c r="D251" s="40" t="s">
        <v>7</v>
      </c>
      <c r="E251" s="49" t="s">
        <v>235</v>
      </c>
      <c r="F251" s="41" t="s">
        <v>188</v>
      </c>
      <c r="G251" s="41" t="s">
        <v>241</v>
      </c>
      <c r="H251" s="41" t="s">
        <v>479</v>
      </c>
      <c r="I251" s="41" t="s">
        <v>139</v>
      </c>
      <c r="J251" s="46" t="str">
        <f>VLOOKUP(I251,'DESCRICAO PRODUTO'!$A:$C,2,0)</f>
        <v>TV 50 ANDROID BORD INF AWS-TV-50-BL-02-A</v>
      </c>
      <c r="K251" s="41" t="str">
        <f>VLOOKUP(I251,'DESCRICAO PRODUTO'!$A:$C,3,0)</f>
        <v>TV 50 ANDROID</v>
      </c>
      <c r="L251" s="47">
        <v>22</v>
      </c>
      <c r="M251" s="58">
        <v>22</v>
      </c>
      <c r="N251" s="51">
        <f t="shared" si="3"/>
        <v>0</v>
      </c>
      <c r="O251" s="40">
        <v>46153</v>
      </c>
      <c r="P251" s="40">
        <v>46160</v>
      </c>
      <c r="Q251" s="34" t="s">
        <v>455</v>
      </c>
      <c r="R251" s="18"/>
      <c r="S251" s="18">
        <v>30320</v>
      </c>
      <c r="T251" s="18" t="s">
        <v>463</v>
      </c>
      <c r="U251" s="33">
        <v>46184</v>
      </c>
    </row>
    <row r="252" spans="1:21" ht="15" customHeight="1">
      <c r="A252" s="39">
        <v>6</v>
      </c>
      <c r="B252" s="40">
        <v>46134</v>
      </c>
      <c r="C252" s="40" t="s">
        <v>460</v>
      </c>
      <c r="D252" s="40" t="s">
        <v>7</v>
      </c>
      <c r="E252" s="49" t="s">
        <v>236</v>
      </c>
      <c r="F252" s="41" t="s">
        <v>38</v>
      </c>
      <c r="G252" s="41" t="s">
        <v>241</v>
      </c>
      <c r="H252" s="41" t="s">
        <v>479</v>
      </c>
      <c r="I252" s="41" t="s">
        <v>95</v>
      </c>
      <c r="J252" s="46" t="str">
        <f>VLOOKUP(I252,'DESCRICAO PRODUTO'!$A:$C,2,0)</f>
        <v>TV 55 ANDROID AWS-TV-55-BL-01</v>
      </c>
      <c r="K252" s="41" t="str">
        <f>VLOOKUP(I252,'DESCRICAO PRODUTO'!$A:$C,3,0)</f>
        <v>TV 55 ANDROID</v>
      </c>
      <c r="L252" s="47">
        <f>48-15</f>
        <v>33</v>
      </c>
      <c r="M252" s="58"/>
      <c r="N252" s="51">
        <f t="shared" si="3"/>
        <v>-33</v>
      </c>
      <c r="O252" s="40">
        <v>46252</v>
      </c>
      <c r="P252" s="40">
        <v>46258</v>
      </c>
      <c r="Q252" s="34" t="s">
        <v>505</v>
      </c>
      <c r="R252" s="55" t="s">
        <v>548</v>
      </c>
      <c r="S252" s="18"/>
      <c r="T252" s="18"/>
      <c r="U252" s="33"/>
    </row>
    <row r="253" spans="1:21" ht="15" customHeight="1">
      <c r="A253" s="39">
        <v>6</v>
      </c>
      <c r="B253" s="40">
        <v>46134</v>
      </c>
      <c r="C253" s="40" t="s">
        <v>460</v>
      </c>
      <c r="D253" s="40" t="s">
        <v>7</v>
      </c>
      <c r="E253" s="49" t="s">
        <v>236</v>
      </c>
      <c r="F253" s="41" t="s">
        <v>38</v>
      </c>
      <c r="G253" s="41" t="s">
        <v>241</v>
      </c>
      <c r="H253" s="41" t="s">
        <v>479</v>
      </c>
      <c r="I253" s="41" t="s">
        <v>95</v>
      </c>
      <c r="J253" s="46" t="str">
        <f>VLOOKUP(I253,'DESCRICAO PRODUTO'!$A:$C,2,0)</f>
        <v>TV 55 ANDROID AWS-TV-55-BL-01</v>
      </c>
      <c r="K253" s="41" t="str">
        <f>VLOOKUP(I253,'DESCRICAO PRODUTO'!$A:$C,3,0)</f>
        <v>TV 55 ANDROID</v>
      </c>
      <c r="L253" s="47">
        <v>15</v>
      </c>
      <c r="M253" s="58">
        <v>15</v>
      </c>
      <c r="N253" s="51">
        <f t="shared" si="3"/>
        <v>0</v>
      </c>
      <c r="O253" s="40">
        <v>46153</v>
      </c>
      <c r="P253" s="40">
        <v>46160</v>
      </c>
      <c r="Q253" s="34" t="s">
        <v>455</v>
      </c>
      <c r="R253" s="18"/>
      <c r="S253" s="18">
        <v>30318</v>
      </c>
      <c r="T253" s="18" t="s">
        <v>463</v>
      </c>
      <c r="U253" s="33">
        <v>46184</v>
      </c>
    </row>
    <row r="254" spans="1:21" ht="15" customHeight="1">
      <c r="A254" s="39">
        <v>7</v>
      </c>
      <c r="B254" s="40">
        <v>46157</v>
      </c>
      <c r="C254" s="40" t="s">
        <v>338</v>
      </c>
      <c r="D254" s="40" t="s">
        <v>339</v>
      </c>
      <c r="E254" s="49" t="s">
        <v>236</v>
      </c>
      <c r="F254" s="41" t="s">
        <v>38</v>
      </c>
      <c r="G254" s="41" t="s">
        <v>241</v>
      </c>
      <c r="H254" s="41" t="s">
        <v>479</v>
      </c>
      <c r="I254" s="41" t="s">
        <v>95</v>
      </c>
      <c r="J254" s="46" t="str">
        <f>VLOOKUP(I254,'DESCRICAO PRODUTO'!$A:$C,2,0)</f>
        <v>TV 55 ANDROID AWS-TV-55-BL-01</v>
      </c>
      <c r="K254" s="41" t="str">
        <f>VLOOKUP(I254,'DESCRICAO PRODUTO'!$A:$C,3,0)</f>
        <v>TV 55 ANDROID</v>
      </c>
      <c r="L254" s="38">
        <v>257</v>
      </c>
      <c r="M254" s="58">
        <v>257</v>
      </c>
      <c r="N254" s="51">
        <f t="shared" si="3"/>
        <v>0</v>
      </c>
      <c r="O254" s="40">
        <v>46153</v>
      </c>
      <c r="P254" s="40">
        <v>46160</v>
      </c>
      <c r="Q254" s="34" t="s">
        <v>455</v>
      </c>
      <c r="R254" s="18"/>
      <c r="S254" s="18">
        <v>30317</v>
      </c>
      <c r="T254" s="18" t="s">
        <v>463</v>
      </c>
      <c r="U254" s="33">
        <v>46184</v>
      </c>
    </row>
    <row r="255" spans="1:21" ht="15" customHeight="1">
      <c r="A255" s="39">
        <v>8</v>
      </c>
      <c r="B255" s="40">
        <v>46161</v>
      </c>
      <c r="C255" s="40" t="s">
        <v>465</v>
      </c>
      <c r="D255" s="40" t="s">
        <v>339</v>
      </c>
      <c r="E255" s="49" t="s">
        <v>509</v>
      </c>
      <c r="F255" s="41" t="s">
        <v>33</v>
      </c>
      <c r="G255" s="41" t="s">
        <v>241</v>
      </c>
      <c r="H255" s="41" t="s">
        <v>479</v>
      </c>
      <c r="I255" s="46" t="s">
        <v>24</v>
      </c>
      <c r="J255" s="46" t="str">
        <f>VLOOKUP(I255,'DESCRICAO PRODUTO'!$A:$C,2,0)</f>
        <v>BOOMBOX AWS-BBS-01-B BIVOLT</v>
      </c>
      <c r="K255" s="41" t="str">
        <f>VLOOKUP(I255,'DESCRICAO PRODUTO'!$A:$C,3,0)</f>
        <v>BBS PRETO</v>
      </c>
      <c r="L255" s="38">
        <v>2000</v>
      </c>
      <c r="M255" s="58">
        <v>2000</v>
      </c>
      <c r="N255" s="51">
        <f t="shared" si="3"/>
        <v>0</v>
      </c>
      <c r="O255" s="40">
        <v>46167</v>
      </c>
      <c r="P255" s="40">
        <v>46169</v>
      </c>
      <c r="Q255" s="34" t="s">
        <v>455</v>
      </c>
      <c r="R255" s="8"/>
      <c r="S255" s="18">
        <v>30456</v>
      </c>
      <c r="T255" s="18" t="s">
        <v>475</v>
      </c>
      <c r="U255" s="33">
        <v>46195</v>
      </c>
    </row>
    <row r="256" spans="1:21" ht="15" customHeight="1">
      <c r="A256" s="39">
        <v>9</v>
      </c>
      <c r="B256" s="40">
        <v>46161</v>
      </c>
      <c r="C256" s="40" t="s">
        <v>240</v>
      </c>
      <c r="D256" s="40" t="s">
        <v>7</v>
      </c>
      <c r="E256" s="49" t="s">
        <v>112</v>
      </c>
      <c r="F256" s="41" t="s">
        <v>170</v>
      </c>
      <c r="G256" s="41" t="s">
        <v>241</v>
      </c>
      <c r="H256" s="41" t="s">
        <v>479</v>
      </c>
      <c r="I256" s="46" t="s">
        <v>41</v>
      </c>
      <c r="J256" s="46" t="str">
        <f>VLOOKUP(I256,'DESCRICAO PRODUTO'!$A:$C,2,0)</f>
        <v>CAIXA AMPLIFICADA MCO-14 BIVOLT .</v>
      </c>
      <c r="K256" s="41" t="str">
        <f>VLOOKUP(I256,'DESCRICAO PRODUTO'!$A:$C,3,0)</f>
        <v>MCO 14</v>
      </c>
      <c r="L256" s="38">
        <v>150</v>
      </c>
      <c r="M256" s="58"/>
      <c r="N256" s="51">
        <f t="shared" si="3"/>
        <v>-150</v>
      </c>
      <c r="O256" s="40" t="s">
        <v>472</v>
      </c>
      <c r="P256" s="40" t="s">
        <v>472</v>
      </c>
      <c r="Q256" s="34" t="s">
        <v>506</v>
      </c>
      <c r="R256" s="8"/>
      <c r="S256" s="18"/>
      <c r="T256" s="18"/>
      <c r="U256" s="54"/>
    </row>
    <row r="257" spans="1:21" ht="15" customHeight="1">
      <c r="A257" s="39">
        <v>9</v>
      </c>
      <c r="B257" s="40">
        <v>46161</v>
      </c>
      <c r="C257" s="40" t="s">
        <v>240</v>
      </c>
      <c r="D257" s="40" t="s">
        <v>7</v>
      </c>
      <c r="E257" s="49" t="s">
        <v>306</v>
      </c>
      <c r="F257" s="41" t="s">
        <v>322</v>
      </c>
      <c r="G257" s="41" t="s">
        <v>241</v>
      </c>
      <c r="H257" s="41" t="s">
        <v>480</v>
      </c>
      <c r="I257" s="46" t="s">
        <v>41</v>
      </c>
      <c r="J257" s="46" t="str">
        <f>VLOOKUP(I257,'DESCRICAO PRODUTO'!$A:$C,2,0)</f>
        <v>CAIXA AMPLIFICADA MCO-14 BIVOLT .</v>
      </c>
      <c r="K257" s="41" t="str">
        <f>VLOOKUP(I257,'DESCRICAO PRODUTO'!$A:$C,3,0)</f>
        <v>MCO 14</v>
      </c>
      <c r="L257" s="38">
        <v>38</v>
      </c>
      <c r="M257" s="58"/>
      <c r="N257" s="51">
        <f t="shared" si="3"/>
        <v>-38</v>
      </c>
      <c r="O257" s="40" t="s">
        <v>472</v>
      </c>
      <c r="P257" s="40" t="s">
        <v>472</v>
      </c>
      <c r="Q257" s="34" t="s">
        <v>506</v>
      </c>
      <c r="R257" s="8"/>
      <c r="S257" s="18"/>
      <c r="T257" s="18"/>
      <c r="U257" s="54"/>
    </row>
    <row r="258" spans="1:21" ht="15" customHeight="1">
      <c r="A258" s="39">
        <v>9</v>
      </c>
      <c r="B258" s="40">
        <v>46161</v>
      </c>
      <c r="C258" s="40" t="s">
        <v>240</v>
      </c>
      <c r="D258" s="40" t="s">
        <v>7</v>
      </c>
      <c r="E258" s="49" t="s">
        <v>303</v>
      </c>
      <c r="F258" s="41" t="s">
        <v>182</v>
      </c>
      <c r="G258" s="41" t="s">
        <v>241</v>
      </c>
      <c r="H258" s="41" t="s">
        <v>479</v>
      </c>
      <c r="I258" s="46" t="s">
        <v>97</v>
      </c>
      <c r="J258" s="46" t="str">
        <f>VLOOKUP(I258,'DESCRICAO PRODUTO'!$A:$C,2,0)</f>
        <v>CAIXA AMPLIFICADA CM-400 BIVOLT .</v>
      </c>
      <c r="K258" s="41" t="str">
        <f>VLOOKUP(I258,'DESCRICAO PRODUTO'!$A:$C,3,0)</f>
        <v>CM 400</v>
      </c>
      <c r="L258" s="38">
        <v>162</v>
      </c>
      <c r="M258" s="58"/>
      <c r="N258" s="51">
        <f t="shared" ref="N258:N321" si="4">M258-L258</f>
        <v>-162</v>
      </c>
      <c r="O258" s="40"/>
      <c r="P258" s="40"/>
      <c r="Q258" s="34" t="s">
        <v>4</v>
      </c>
      <c r="R258" s="18" t="s">
        <v>549</v>
      </c>
      <c r="S258" s="18"/>
      <c r="T258" s="18"/>
      <c r="U258" s="54"/>
    </row>
    <row r="259" spans="1:21" ht="15" customHeight="1">
      <c r="A259" s="39">
        <v>9</v>
      </c>
      <c r="B259" s="40">
        <v>46161</v>
      </c>
      <c r="C259" s="40" t="s">
        <v>240</v>
      </c>
      <c r="D259" s="40" t="s">
        <v>7</v>
      </c>
      <c r="E259" s="49" t="s">
        <v>113</v>
      </c>
      <c r="F259" s="41" t="s">
        <v>182</v>
      </c>
      <c r="G259" s="41" t="s">
        <v>241</v>
      </c>
      <c r="H259" s="41" t="s">
        <v>479</v>
      </c>
      <c r="I259" s="46" t="s">
        <v>42</v>
      </c>
      <c r="J259" s="46" t="str">
        <f>VLOOKUP(I259,'DESCRICAO PRODUTO'!$A:$C,2,0)</f>
        <v>CAIXA AMPLIFICADA CM-400 BIVOLT .</v>
      </c>
      <c r="K259" s="41" t="s">
        <v>492</v>
      </c>
      <c r="L259" s="38">
        <v>300</v>
      </c>
      <c r="M259" s="58">
        <v>300</v>
      </c>
      <c r="N259" s="51">
        <f t="shared" si="4"/>
        <v>0</v>
      </c>
      <c r="O259" s="40">
        <v>46240</v>
      </c>
      <c r="P259" s="40">
        <v>46245</v>
      </c>
      <c r="Q259" s="34" t="s">
        <v>455</v>
      </c>
      <c r="R259" s="18" t="s">
        <v>513</v>
      </c>
      <c r="S259" s="18">
        <v>31170</v>
      </c>
      <c r="T259" s="18" t="s">
        <v>516</v>
      </c>
      <c r="U259" s="33">
        <v>46260</v>
      </c>
    </row>
    <row r="260" spans="1:21" ht="15" customHeight="1">
      <c r="A260" s="39">
        <v>9</v>
      </c>
      <c r="B260" s="40">
        <v>46161</v>
      </c>
      <c r="C260" s="40" t="s">
        <v>240</v>
      </c>
      <c r="D260" s="40" t="s">
        <v>7</v>
      </c>
      <c r="E260" s="49" t="s">
        <v>113</v>
      </c>
      <c r="F260" s="41" t="s">
        <v>182</v>
      </c>
      <c r="G260" s="41" t="s">
        <v>241</v>
      </c>
      <c r="H260" s="41" t="s">
        <v>479</v>
      </c>
      <c r="I260" s="46" t="s">
        <v>42</v>
      </c>
      <c r="J260" s="46" t="str">
        <f>VLOOKUP(I260,'DESCRICAO PRODUTO'!$A:$C,2,0)</f>
        <v>CAIXA AMPLIFICADA CM-400 BIVOLT .</v>
      </c>
      <c r="K260" s="41" t="s">
        <v>492</v>
      </c>
      <c r="L260" s="38">
        <v>173</v>
      </c>
      <c r="M260" s="58">
        <v>173</v>
      </c>
      <c r="N260" s="51">
        <f t="shared" si="4"/>
        <v>0</v>
      </c>
      <c r="O260" s="40">
        <v>46241</v>
      </c>
      <c r="P260" s="40">
        <v>46245</v>
      </c>
      <c r="Q260" s="34" t="s">
        <v>455</v>
      </c>
      <c r="R260" s="18" t="s">
        <v>514</v>
      </c>
      <c r="S260" s="18">
        <v>31172</v>
      </c>
      <c r="T260" s="18" t="s">
        <v>517</v>
      </c>
      <c r="U260" s="54">
        <v>46260</v>
      </c>
    </row>
    <row r="261" spans="1:21" ht="15" customHeight="1">
      <c r="A261" s="39">
        <v>9</v>
      </c>
      <c r="B261" s="40">
        <v>46161</v>
      </c>
      <c r="C261" s="40" t="s">
        <v>240</v>
      </c>
      <c r="D261" s="40" t="s">
        <v>7</v>
      </c>
      <c r="E261" s="49" t="s">
        <v>113</v>
      </c>
      <c r="F261" s="41" t="s">
        <v>182</v>
      </c>
      <c r="G261" s="41" t="s">
        <v>241</v>
      </c>
      <c r="H261" s="41" t="s">
        <v>479</v>
      </c>
      <c r="I261" s="46" t="s">
        <v>42</v>
      </c>
      <c r="J261" s="46" t="str">
        <f>VLOOKUP(I261,'DESCRICAO PRODUTO'!$A:$C,2,0)</f>
        <v>CAIXA AMPLIFICADA CM-400 BIVOLT .</v>
      </c>
      <c r="K261" s="41" t="s">
        <v>492</v>
      </c>
      <c r="L261" s="38">
        <v>300</v>
      </c>
      <c r="M261" s="58">
        <v>300</v>
      </c>
      <c r="N261" s="51">
        <f t="shared" si="4"/>
        <v>0</v>
      </c>
      <c r="O261" s="40">
        <v>46241</v>
      </c>
      <c r="P261" s="40">
        <v>46245</v>
      </c>
      <c r="Q261" s="34" t="s">
        <v>455</v>
      </c>
      <c r="R261" s="8" t="s">
        <v>512</v>
      </c>
      <c r="S261" s="18">
        <v>31171</v>
      </c>
      <c r="T261" s="18" t="s">
        <v>518</v>
      </c>
      <c r="U261" s="33">
        <v>46260</v>
      </c>
    </row>
    <row r="262" spans="1:21" ht="15" customHeight="1">
      <c r="A262" s="39">
        <v>9</v>
      </c>
      <c r="B262" s="40">
        <v>46161</v>
      </c>
      <c r="C262" s="40" t="s">
        <v>240</v>
      </c>
      <c r="D262" s="40" t="s">
        <v>7</v>
      </c>
      <c r="E262" s="49" t="s">
        <v>113</v>
      </c>
      <c r="F262" s="41" t="s">
        <v>182</v>
      </c>
      <c r="G262" s="41" t="s">
        <v>241</v>
      </c>
      <c r="H262" s="41" t="s">
        <v>479</v>
      </c>
      <c r="I262" s="46" t="s">
        <v>43</v>
      </c>
      <c r="J262" s="46" t="str">
        <f>VLOOKUP(I262,'DESCRICAO PRODUTO'!$A:$C,2,0)</f>
        <v>CAIXA AMPLIFICADA CM-400 BIVOLT .</v>
      </c>
      <c r="K262" s="41" t="s">
        <v>492</v>
      </c>
      <c r="L262" s="38">
        <f>127</f>
        <v>127</v>
      </c>
      <c r="M262" s="58">
        <v>127</v>
      </c>
      <c r="N262" s="51">
        <f t="shared" si="4"/>
        <v>0</v>
      </c>
      <c r="O262" s="40">
        <v>46241</v>
      </c>
      <c r="P262" s="40">
        <v>46245</v>
      </c>
      <c r="Q262" s="34" t="s">
        <v>455</v>
      </c>
      <c r="R262" s="8" t="s">
        <v>514</v>
      </c>
      <c r="S262" s="18">
        <v>31172</v>
      </c>
      <c r="T262" s="18" t="s">
        <v>517</v>
      </c>
      <c r="U262" s="54">
        <v>46260</v>
      </c>
    </row>
    <row r="263" spans="1:21" ht="15" customHeight="1">
      <c r="A263" s="39">
        <v>9</v>
      </c>
      <c r="B263" s="40">
        <v>46161</v>
      </c>
      <c r="C263" s="40" t="s">
        <v>240</v>
      </c>
      <c r="D263" s="40" t="s">
        <v>7</v>
      </c>
      <c r="E263" s="49" t="s">
        <v>194</v>
      </c>
      <c r="F263" s="41" t="s">
        <v>195</v>
      </c>
      <c r="G263" s="41" t="s">
        <v>241</v>
      </c>
      <c r="H263" s="41" t="s">
        <v>480</v>
      </c>
      <c r="I263" s="46" t="s">
        <v>47</v>
      </c>
      <c r="J263" s="46" t="str">
        <f>VLOOKUP(I263,'DESCRICAO PRODUTO'!$A:$C,2,0)</f>
        <v>CAIXA AMPLIFICADA CM-250 BIVOLT .</v>
      </c>
      <c r="K263" s="41" t="str">
        <f>VLOOKUP(I263,'DESCRICAO PRODUTO'!$A:$C,3,0)</f>
        <v>CM 250</v>
      </c>
      <c r="L263" s="38">
        <v>7</v>
      </c>
      <c r="M263" s="58"/>
      <c r="N263" s="51">
        <f t="shared" si="4"/>
        <v>-7</v>
      </c>
      <c r="O263" s="40"/>
      <c r="P263" s="40"/>
      <c r="Q263" s="34" t="s">
        <v>4</v>
      </c>
      <c r="R263" s="18" t="s">
        <v>549</v>
      </c>
      <c r="S263" s="18"/>
      <c r="T263" s="18"/>
      <c r="U263" s="54"/>
    </row>
    <row r="264" spans="1:21" ht="15" customHeight="1">
      <c r="A264" s="39">
        <v>9</v>
      </c>
      <c r="B264" s="40">
        <v>46161</v>
      </c>
      <c r="C264" s="40" t="s">
        <v>240</v>
      </c>
      <c r="D264" s="40" t="s">
        <v>7</v>
      </c>
      <c r="E264" s="49" t="s">
        <v>194</v>
      </c>
      <c r="F264" s="41" t="s">
        <v>195</v>
      </c>
      <c r="G264" s="41" t="s">
        <v>241</v>
      </c>
      <c r="H264" s="41" t="s">
        <v>480</v>
      </c>
      <c r="I264" s="46" t="s">
        <v>47</v>
      </c>
      <c r="J264" s="46" t="str">
        <f>VLOOKUP(I264,'DESCRICAO PRODUTO'!$A:$C,2,0)</f>
        <v>CAIXA AMPLIFICADA CM-250 BIVOLT .</v>
      </c>
      <c r="K264" s="41" t="str">
        <f>VLOOKUP(I264,'DESCRICAO PRODUTO'!$A:$C,3,0)</f>
        <v>CM 250</v>
      </c>
      <c r="L264" s="38">
        <v>29</v>
      </c>
      <c r="M264" s="58"/>
      <c r="N264" s="51">
        <f t="shared" si="4"/>
        <v>-29</v>
      </c>
      <c r="O264" s="40"/>
      <c r="P264" s="40"/>
      <c r="Q264" s="34" t="s">
        <v>4</v>
      </c>
      <c r="R264" s="18" t="s">
        <v>549</v>
      </c>
      <c r="S264" s="18"/>
      <c r="T264" s="18"/>
      <c r="U264" s="54"/>
    </row>
    <row r="265" spans="1:21" ht="15" customHeight="1">
      <c r="A265" s="39">
        <v>9</v>
      </c>
      <c r="B265" s="40">
        <v>46161</v>
      </c>
      <c r="C265" s="40" t="s">
        <v>240</v>
      </c>
      <c r="D265" s="40" t="s">
        <v>7</v>
      </c>
      <c r="E265" s="49" t="s">
        <v>231</v>
      </c>
      <c r="F265" s="41" t="s">
        <v>168</v>
      </c>
      <c r="G265" s="41" t="s">
        <v>241</v>
      </c>
      <c r="H265" s="41" t="s">
        <v>479</v>
      </c>
      <c r="I265" s="46" t="s">
        <v>48</v>
      </c>
      <c r="J265" s="46" t="str">
        <f>VLOOKUP(I265,'DESCRICAO PRODUTO'!$A:$C,2,0)</f>
        <v>CAIXA AMPLIFICADA CM-250 BIVOLT .</v>
      </c>
      <c r="K265" s="41" t="str">
        <f>VLOOKUP(I265,'DESCRICAO PRODUTO'!$A:$C,3,0)</f>
        <v>CM 250</v>
      </c>
      <c r="L265" s="38">
        <v>511</v>
      </c>
      <c r="M265" s="58">
        <v>551</v>
      </c>
      <c r="N265" s="51">
        <f t="shared" si="4"/>
        <v>40</v>
      </c>
      <c r="O265" s="40">
        <v>46232</v>
      </c>
      <c r="P265" s="40">
        <v>46247</v>
      </c>
      <c r="Q265" s="34" t="s">
        <v>455</v>
      </c>
      <c r="R265" s="55" t="s">
        <v>532</v>
      </c>
      <c r="S265" s="18">
        <v>31205</v>
      </c>
      <c r="T265" s="18" t="s">
        <v>531</v>
      </c>
      <c r="U265" s="33">
        <v>46262</v>
      </c>
    </row>
    <row r="266" spans="1:21" ht="15" customHeight="1">
      <c r="A266" s="39">
        <v>9</v>
      </c>
      <c r="B266" s="40">
        <v>46161</v>
      </c>
      <c r="C266" s="40" t="s">
        <v>240</v>
      </c>
      <c r="D266" s="40" t="s">
        <v>7</v>
      </c>
      <c r="E266" s="49" t="s">
        <v>194</v>
      </c>
      <c r="F266" s="41" t="s">
        <v>195</v>
      </c>
      <c r="G266" s="41" t="s">
        <v>241</v>
      </c>
      <c r="H266" s="41" t="s">
        <v>480</v>
      </c>
      <c r="I266" s="46" t="s">
        <v>48</v>
      </c>
      <c r="J266" s="46" t="str">
        <f>VLOOKUP(I266,'DESCRICAO PRODUTO'!$A:$C,2,0)</f>
        <v>CAIXA AMPLIFICADA CM-250 BIVOLT .</v>
      </c>
      <c r="K266" s="41" t="str">
        <f>VLOOKUP(I266,'DESCRICAO PRODUTO'!$A:$C,3,0)</f>
        <v>CM 250</v>
      </c>
      <c r="L266" s="38">
        <v>128</v>
      </c>
      <c r="M266" s="58"/>
      <c r="N266" s="51">
        <f t="shared" si="4"/>
        <v>-128</v>
      </c>
      <c r="O266" s="40"/>
      <c r="P266" s="40"/>
      <c r="Q266" s="34" t="s">
        <v>4</v>
      </c>
      <c r="R266" s="18" t="s">
        <v>549</v>
      </c>
      <c r="S266" s="18"/>
      <c r="T266" s="18"/>
      <c r="U266" s="54"/>
    </row>
    <row r="267" spans="1:21" ht="15" customHeight="1">
      <c r="A267" s="39">
        <v>9</v>
      </c>
      <c r="B267" s="40">
        <v>46161</v>
      </c>
      <c r="C267" s="40" t="s">
        <v>240</v>
      </c>
      <c r="D267" s="40" t="s">
        <v>7</v>
      </c>
      <c r="E267" s="49" t="s">
        <v>202</v>
      </c>
      <c r="F267" s="41" t="s">
        <v>203</v>
      </c>
      <c r="G267" s="41" t="s">
        <v>233</v>
      </c>
      <c r="H267" s="41" t="s">
        <v>481</v>
      </c>
      <c r="I267" s="46" t="s">
        <v>160</v>
      </c>
      <c r="J267" s="46" t="str">
        <f>VLOOKUP(I267,'DESCRICAO PRODUTO'!$A:$C,2,0)</f>
        <v>TORRE DE SOM TM2200 BIV</v>
      </c>
      <c r="K267" s="41" t="str">
        <f>VLOOKUP(I267,'DESCRICAO PRODUTO'!$A:$C,3,0)</f>
        <v>TM2200</v>
      </c>
      <c r="L267" s="38">
        <v>12</v>
      </c>
      <c r="M267" s="58"/>
      <c r="N267" s="51">
        <f t="shared" si="4"/>
        <v>-12</v>
      </c>
      <c r="O267" s="40">
        <v>46232</v>
      </c>
      <c r="P267" s="40">
        <v>46258</v>
      </c>
      <c r="Q267" s="34" t="s">
        <v>505</v>
      </c>
      <c r="R267" s="18" t="s">
        <v>548</v>
      </c>
      <c r="S267" s="18"/>
      <c r="T267" s="18"/>
      <c r="U267" s="54"/>
    </row>
    <row r="268" spans="1:21" ht="15" customHeight="1">
      <c r="A268" s="39">
        <v>9</v>
      </c>
      <c r="B268" s="40">
        <v>46161</v>
      </c>
      <c r="C268" s="40" t="s">
        <v>240</v>
      </c>
      <c r="D268" s="40" t="s">
        <v>7</v>
      </c>
      <c r="E268" s="49" t="s">
        <v>161</v>
      </c>
      <c r="F268" s="41" t="s">
        <v>192</v>
      </c>
      <c r="G268" s="41" t="s">
        <v>241</v>
      </c>
      <c r="H268" s="41" t="s">
        <v>479</v>
      </c>
      <c r="I268" s="46" t="s">
        <v>160</v>
      </c>
      <c r="J268" s="46" t="str">
        <f>VLOOKUP(I268,'DESCRICAO PRODUTO'!$A:$C,2,0)</f>
        <v>TORRE DE SOM TM2200 BIV</v>
      </c>
      <c r="K268" s="41" t="str">
        <f>VLOOKUP(I268,'DESCRICAO PRODUTO'!$A:$C,3,0)</f>
        <v>TM2200</v>
      </c>
      <c r="L268" s="38">
        <v>6</v>
      </c>
      <c r="M268" s="58"/>
      <c r="N268" s="51">
        <f t="shared" si="4"/>
        <v>-6</v>
      </c>
      <c r="O268" s="40">
        <v>46232</v>
      </c>
      <c r="P268" s="40">
        <v>46258</v>
      </c>
      <c r="Q268" s="34" t="s">
        <v>505</v>
      </c>
      <c r="R268" s="18" t="s">
        <v>548</v>
      </c>
      <c r="S268" s="18"/>
      <c r="T268" s="18"/>
      <c r="U268" s="54"/>
    </row>
    <row r="269" spans="1:21" ht="15" customHeight="1">
      <c r="A269" s="39">
        <v>9</v>
      </c>
      <c r="B269" s="40">
        <v>46161</v>
      </c>
      <c r="C269" s="40" t="s">
        <v>240</v>
      </c>
      <c r="D269" s="40" t="s">
        <v>7</v>
      </c>
      <c r="E269" s="49" t="s">
        <v>124</v>
      </c>
      <c r="F269" s="41" t="s">
        <v>39</v>
      </c>
      <c r="G269" s="41" t="s">
        <v>241</v>
      </c>
      <c r="H269" s="41" t="s">
        <v>479</v>
      </c>
      <c r="I269" s="46" t="s">
        <v>27</v>
      </c>
      <c r="J269" s="46" t="str">
        <f>VLOOKUP(I269,'DESCRICAO PRODUTO'!$A:$C,2,0)</f>
        <v>CAIXA AMPLIFICADA CM-550 BIVOLT .</v>
      </c>
      <c r="K269" s="41" t="str">
        <f>VLOOKUP(I269,'DESCRICAO PRODUTO'!$A:$C,3,0)</f>
        <v>CM 550</v>
      </c>
      <c r="L269" s="38">
        <v>357</v>
      </c>
      <c r="M269" s="58">
        <v>357</v>
      </c>
      <c r="N269" s="51">
        <f t="shared" si="4"/>
        <v>0</v>
      </c>
      <c r="O269" s="40">
        <v>46198</v>
      </c>
      <c r="P269" s="40">
        <v>46204</v>
      </c>
      <c r="Q269" s="34" t="s">
        <v>455</v>
      </c>
      <c r="R269" s="8"/>
      <c r="S269" s="18">
        <v>30873</v>
      </c>
      <c r="T269" s="18" t="s">
        <v>488</v>
      </c>
      <c r="U269" s="33">
        <v>46228</v>
      </c>
    </row>
    <row r="270" spans="1:21" ht="15.95" customHeight="1">
      <c r="A270" s="39">
        <v>9</v>
      </c>
      <c r="B270" s="40">
        <v>46161</v>
      </c>
      <c r="C270" s="40" t="s">
        <v>240</v>
      </c>
      <c r="D270" s="40" t="s">
        <v>7</v>
      </c>
      <c r="E270" s="49" t="s">
        <v>124</v>
      </c>
      <c r="F270" s="41" t="s">
        <v>39</v>
      </c>
      <c r="G270" s="41" t="s">
        <v>241</v>
      </c>
      <c r="H270" s="41" t="s">
        <v>479</v>
      </c>
      <c r="I270" s="46" t="s">
        <v>49</v>
      </c>
      <c r="J270" s="46" t="str">
        <f>VLOOKUP(I270,'DESCRICAO PRODUTO'!$A:$C,2,0)</f>
        <v>CAIXA AMPLIFICADA CM-550 BIVOLT .</v>
      </c>
      <c r="K270" s="41" t="str">
        <f>VLOOKUP(I270,'DESCRICAO PRODUTO'!$A:$C,3,0)</f>
        <v>CM 550</v>
      </c>
      <c r="L270" s="38">
        <v>2</v>
      </c>
      <c r="M270" s="58">
        <v>2</v>
      </c>
      <c r="N270" s="51">
        <f t="shared" si="4"/>
        <v>0</v>
      </c>
      <c r="O270" s="40">
        <v>46198</v>
      </c>
      <c r="P270" s="40">
        <v>46204</v>
      </c>
      <c r="Q270" s="34" t="s">
        <v>455</v>
      </c>
      <c r="R270" s="8"/>
      <c r="S270" s="18">
        <v>30873</v>
      </c>
      <c r="T270" s="18" t="s">
        <v>488</v>
      </c>
      <c r="U270" s="33">
        <v>46228</v>
      </c>
    </row>
    <row r="271" spans="1:21" ht="15.95" customHeight="1">
      <c r="A271" s="39">
        <v>9</v>
      </c>
      <c r="B271" s="40">
        <v>46161</v>
      </c>
      <c r="C271" s="40" t="s">
        <v>240</v>
      </c>
      <c r="D271" s="40" t="s">
        <v>7</v>
      </c>
      <c r="E271" s="49" t="s">
        <v>124</v>
      </c>
      <c r="F271" s="41" t="s">
        <v>39</v>
      </c>
      <c r="G271" s="41" t="s">
        <v>241</v>
      </c>
      <c r="H271" s="41" t="s">
        <v>479</v>
      </c>
      <c r="I271" s="46" t="s">
        <v>99</v>
      </c>
      <c r="J271" s="46" t="str">
        <f>VLOOKUP(I271,'DESCRICAO PRODUTO'!$A:$C,2,0)</f>
        <v>CAIXA AMPLIFICADA CM-550 BIVOLT .</v>
      </c>
      <c r="K271" s="41" t="str">
        <f>VLOOKUP(I271,'DESCRICAO PRODUTO'!$A:$C,3,0)</f>
        <v>CM 550</v>
      </c>
      <c r="L271" s="38">
        <v>13</v>
      </c>
      <c r="M271" s="58">
        <v>13</v>
      </c>
      <c r="N271" s="51">
        <f t="shared" si="4"/>
        <v>0</v>
      </c>
      <c r="O271" s="40">
        <v>46198</v>
      </c>
      <c r="P271" s="40">
        <v>46204</v>
      </c>
      <c r="Q271" s="34" t="s">
        <v>455</v>
      </c>
      <c r="R271" s="8"/>
      <c r="S271" s="18">
        <v>30873</v>
      </c>
      <c r="T271" s="18" t="s">
        <v>488</v>
      </c>
      <c r="U271" s="33">
        <v>46228</v>
      </c>
    </row>
    <row r="272" spans="1:21" ht="15.95" customHeight="1">
      <c r="A272" s="39">
        <v>9</v>
      </c>
      <c r="B272" s="40">
        <v>46161</v>
      </c>
      <c r="C272" s="40" t="s">
        <v>240</v>
      </c>
      <c r="D272" s="40" t="s">
        <v>7</v>
      </c>
      <c r="E272" s="49" t="s">
        <v>124</v>
      </c>
      <c r="F272" s="41" t="s">
        <v>39</v>
      </c>
      <c r="G272" s="41" t="s">
        <v>241</v>
      </c>
      <c r="H272" s="41" t="s">
        <v>479</v>
      </c>
      <c r="I272" s="46" t="s">
        <v>50</v>
      </c>
      <c r="J272" s="46" t="str">
        <f>VLOOKUP(I272,'DESCRICAO PRODUTO'!$A:$C,2,0)</f>
        <v>CAIXA AMPLIFICADA CM-550 BIVOLT .</v>
      </c>
      <c r="K272" s="41" t="str">
        <f>VLOOKUP(I272,'DESCRICAO PRODUTO'!$A:$C,3,0)</f>
        <v>CM 550</v>
      </c>
      <c r="L272" s="38">
        <v>736</v>
      </c>
      <c r="M272" s="58">
        <v>736</v>
      </c>
      <c r="N272" s="51">
        <f t="shared" si="4"/>
        <v>0</v>
      </c>
      <c r="O272" s="40">
        <v>46198</v>
      </c>
      <c r="P272" s="40">
        <v>46204</v>
      </c>
      <c r="Q272" s="34" t="s">
        <v>455</v>
      </c>
      <c r="R272" s="8"/>
      <c r="S272" s="18">
        <v>30873</v>
      </c>
      <c r="T272" s="18" t="s">
        <v>488</v>
      </c>
      <c r="U272" s="33">
        <v>46228</v>
      </c>
    </row>
    <row r="273" spans="1:21" ht="15.95" customHeight="1">
      <c r="A273" s="39">
        <v>9</v>
      </c>
      <c r="B273" s="40">
        <v>46161</v>
      </c>
      <c r="C273" s="40" t="s">
        <v>240</v>
      </c>
      <c r="D273" s="40" t="s">
        <v>7</v>
      </c>
      <c r="E273" s="49" t="s">
        <v>124</v>
      </c>
      <c r="F273" s="41" t="s">
        <v>39</v>
      </c>
      <c r="G273" s="41" t="s">
        <v>241</v>
      </c>
      <c r="H273" s="41" t="s">
        <v>479</v>
      </c>
      <c r="I273" s="46" t="s">
        <v>50</v>
      </c>
      <c r="J273" s="46" t="str">
        <f>VLOOKUP(I273,'DESCRICAO PRODUTO'!$A:$C,2,0)</f>
        <v>CAIXA AMPLIFICADA CM-550 BIVOLT .</v>
      </c>
      <c r="K273" s="41" t="str">
        <f>VLOOKUP(I273,'DESCRICAO PRODUTO'!$A:$C,3,0)</f>
        <v>CM 550</v>
      </c>
      <c r="L273" s="38">
        <v>130</v>
      </c>
      <c r="M273" s="58">
        <v>130</v>
      </c>
      <c r="N273" s="51">
        <f t="shared" si="4"/>
        <v>0</v>
      </c>
      <c r="O273" s="40">
        <v>46198</v>
      </c>
      <c r="P273" s="40">
        <v>46204</v>
      </c>
      <c r="Q273" s="34" t="s">
        <v>455</v>
      </c>
      <c r="R273" s="8"/>
      <c r="S273" s="18">
        <v>30873</v>
      </c>
      <c r="T273" s="18" t="s">
        <v>488</v>
      </c>
      <c r="U273" s="33">
        <v>46228</v>
      </c>
    </row>
    <row r="274" spans="1:21" ht="15.95" customHeight="1">
      <c r="A274" s="39">
        <v>9</v>
      </c>
      <c r="B274" s="40">
        <v>46161</v>
      </c>
      <c r="C274" s="40" t="s">
        <v>240</v>
      </c>
      <c r="D274" s="40" t="s">
        <v>7</v>
      </c>
      <c r="E274" s="49" t="s">
        <v>124</v>
      </c>
      <c r="F274" s="41" t="s">
        <v>39</v>
      </c>
      <c r="G274" s="41" t="s">
        <v>241</v>
      </c>
      <c r="H274" s="41" t="s">
        <v>479</v>
      </c>
      <c r="I274" s="46" t="s">
        <v>50</v>
      </c>
      <c r="J274" s="46" t="str">
        <f>VLOOKUP(I274,'DESCRICAO PRODUTO'!$A:$C,2,0)</f>
        <v>CAIXA AMPLIFICADA CM-550 BIVOLT .</v>
      </c>
      <c r="K274" s="41" t="str">
        <f>VLOOKUP(I274,'DESCRICAO PRODUTO'!$A:$C,3,0)</f>
        <v>CM 550</v>
      </c>
      <c r="L274" s="38">
        <f>200-130</f>
        <v>70</v>
      </c>
      <c r="M274" s="58"/>
      <c r="N274" s="51">
        <f t="shared" si="4"/>
        <v>-70</v>
      </c>
      <c r="O274" s="40"/>
      <c r="P274" s="40"/>
      <c r="Q274" s="34" t="s">
        <v>4</v>
      </c>
      <c r="R274" s="18" t="s">
        <v>549</v>
      </c>
      <c r="S274" s="56"/>
      <c r="T274" s="56"/>
      <c r="U274" s="54"/>
    </row>
    <row r="275" spans="1:21" ht="15.95" customHeight="1">
      <c r="A275" s="39">
        <v>9</v>
      </c>
      <c r="B275" s="40">
        <v>46161</v>
      </c>
      <c r="C275" s="40" t="s">
        <v>240</v>
      </c>
      <c r="D275" s="40" t="s">
        <v>7</v>
      </c>
      <c r="E275" s="49" t="s">
        <v>494</v>
      </c>
      <c r="F275" s="41" t="s">
        <v>495</v>
      </c>
      <c r="G275" s="41" t="s">
        <v>241</v>
      </c>
      <c r="H275" s="41" t="s">
        <v>479</v>
      </c>
      <c r="I275" s="46" t="s">
        <v>466</v>
      </c>
      <c r="J275" s="46" t="str">
        <f>VLOOKUP(I275,'DESCRICAO PRODUTO'!$A:$C,2,0)</f>
        <v>TV 43 SMART AWS-TV-43-BL-01</v>
      </c>
      <c r="K275" s="41" t="str">
        <f>VLOOKUP(I275,'DESCRICAO PRODUTO'!$A:$C,3,0)</f>
        <v xml:space="preserve">TV 43 BL </v>
      </c>
      <c r="L275" s="38">
        <v>1</v>
      </c>
      <c r="M275" s="58"/>
      <c r="N275" s="51">
        <f t="shared" si="4"/>
        <v>-1</v>
      </c>
      <c r="O275" s="40" t="s">
        <v>472</v>
      </c>
      <c r="P275" s="40" t="s">
        <v>472</v>
      </c>
      <c r="Q275" s="34" t="s">
        <v>506</v>
      </c>
      <c r="R275" s="8"/>
      <c r="S275" s="56"/>
      <c r="T275" s="56"/>
      <c r="U275" s="54"/>
    </row>
    <row r="276" spans="1:21" ht="15.95" customHeight="1">
      <c r="A276" s="39">
        <v>9</v>
      </c>
      <c r="B276" s="40">
        <v>46161</v>
      </c>
      <c r="C276" s="40" t="s">
        <v>240</v>
      </c>
      <c r="D276" s="40" t="s">
        <v>7</v>
      </c>
      <c r="E276" s="49" t="s">
        <v>509</v>
      </c>
      <c r="F276" s="41" t="s">
        <v>33</v>
      </c>
      <c r="G276" s="41" t="s">
        <v>241</v>
      </c>
      <c r="H276" s="41" t="s">
        <v>479</v>
      </c>
      <c r="I276" s="46" t="s">
        <v>24</v>
      </c>
      <c r="J276" s="46" t="str">
        <f>VLOOKUP(I276,'DESCRICAO PRODUTO'!$A:$C,2,0)</f>
        <v>BOOMBOX AWS-BBS-01-B BIVOLT</v>
      </c>
      <c r="K276" s="41" t="str">
        <f>VLOOKUP(I276,'DESCRICAO PRODUTO'!$A:$C,3,0)</f>
        <v>BBS PRETO</v>
      </c>
      <c r="L276" s="38">
        <v>150</v>
      </c>
      <c r="M276" s="58">
        <v>150</v>
      </c>
      <c r="N276" s="51">
        <f t="shared" si="4"/>
        <v>0</v>
      </c>
      <c r="O276" s="40">
        <v>46241</v>
      </c>
      <c r="P276" s="40">
        <v>46247</v>
      </c>
      <c r="Q276" s="34" t="s">
        <v>455</v>
      </c>
      <c r="R276" s="8" t="s">
        <v>523</v>
      </c>
      <c r="S276" s="18">
        <v>31194</v>
      </c>
      <c r="T276" s="18" t="s">
        <v>531</v>
      </c>
      <c r="U276" s="33">
        <v>46262</v>
      </c>
    </row>
    <row r="277" spans="1:21" ht="15.95" customHeight="1">
      <c r="A277" s="39">
        <v>9</v>
      </c>
      <c r="B277" s="40">
        <v>46161</v>
      </c>
      <c r="C277" s="40" t="s">
        <v>240</v>
      </c>
      <c r="D277" s="40" t="s">
        <v>7</v>
      </c>
      <c r="E277" s="49" t="s">
        <v>235</v>
      </c>
      <c r="F277" s="41" t="s">
        <v>188</v>
      </c>
      <c r="G277" s="41" t="s">
        <v>241</v>
      </c>
      <c r="H277" s="41" t="s">
        <v>479</v>
      </c>
      <c r="I277" s="46" t="s">
        <v>139</v>
      </c>
      <c r="J277" s="62" t="str">
        <f>VLOOKUP(I277,'DESCRICAO PRODUTO'!$A:$C,2,0)</f>
        <v>TV 50 ANDROID BORD INF AWS-TV-50-BL-02-A</v>
      </c>
      <c r="K277" s="41" t="str">
        <f>VLOOKUP(I277,'DESCRICAO PRODUTO'!$A:$C,3,0)</f>
        <v>TV 50 ANDROID</v>
      </c>
      <c r="L277" s="38">
        <v>99</v>
      </c>
      <c r="M277" s="58"/>
      <c r="N277" s="51">
        <f t="shared" si="4"/>
        <v>-99</v>
      </c>
      <c r="O277" s="40"/>
      <c r="P277" s="40">
        <v>46258</v>
      </c>
      <c r="Q277" s="34" t="s">
        <v>505</v>
      </c>
      <c r="R277" s="18" t="s">
        <v>558</v>
      </c>
      <c r="S277" s="18"/>
      <c r="T277" s="18"/>
      <c r="U277" s="33"/>
    </row>
    <row r="278" spans="1:21" ht="15.95" customHeight="1">
      <c r="A278" s="39">
        <v>9</v>
      </c>
      <c r="B278" s="40">
        <v>46161</v>
      </c>
      <c r="C278" s="40" t="s">
        <v>240</v>
      </c>
      <c r="D278" s="40" t="s">
        <v>7</v>
      </c>
      <c r="E278" s="49" t="s">
        <v>235</v>
      </c>
      <c r="F278" s="41" t="s">
        <v>188</v>
      </c>
      <c r="G278" s="41" t="s">
        <v>241</v>
      </c>
      <c r="H278" s="41" t="s">
        <v>479</v>
      </c>
      <c r="I278" s="46" t="s">
        <v>139</v>
      </c>
      <c r="J278" s="62" t="str">
        <f>VLOOKUP(I278,'DESCRICAO PRODUTO'!$A:$C,2,0)</f>
        <v>TV 50 ANDROID BORD INF AWS-TV-50-BL-02-A</v>
      </c>
      <c r="K278" s="41" t="str">
        <f>VLOOKUP(I278,'DESCRICAO PRODUTO'!$A:$C,3,0)</f>
        <v>TV 50 ANDROID</v>
      </c>
      <c r="L278" s="38">
        <v>793</v>
      </c>
      <c r="M278" s="58"/>
      <c r="N278" s="51">
        <f t="shared" si="4"/>
        <v>-793</v>
      </c>
      <c r="O278" s="40"/>
      <c r="P278" s="40">
        <v>46258</v>
      </c>
      <c r="Q278" s="34" t="s">
        <v>505</v>
      </c>
      <c r="R278" s="18" t="s">
        <v>558</v>
      </c>
      <c r="S278" s="18"/>
      <c r="T278" s="18"/>
      <c r="U278" s="33"/>
    </row>
    <row r="279" spans="1:21" ht="15.95" customHeight="1">
      <c r="A279" s="39">
        <v>9</v>
      </c>
      <c r="B279" s="40">
        <v>46161</v>
      </c>
      <c r="C279" s="40" t="s">
        <v>240</v>
      </c>
      <c r="D279" s="40" t="s">
        <v>7</v>
      </c>
      <c r="E279" s="49" t="s">
        <v>14</v>
      </c>
      <c r="F279" s="41" t="s">
        <v>450</v>
      </c>
      <c r="G279" s="41" t="s">
        <v>233</v>
      </c>
      <c r="H279" s="41" t="s">
        <v>481</v>
      </c>
      <c r="I279" s="46" t="s">
        <v>13</v>
      </c>
      <c r="J279" s="46" t="str">
        <f>VLOOKUP(I279,'DESCRICAO PRODUTO'!$A:$C,2,0)</f>
        <v>TORRE DE SOM AWS-T1W-02 BIVOLT BLUETOOTH</v>
      </c>
      <c r="K279" s="41" t="str">
        <f>VLOOKUP(I279,'DESCRICAO PRODUTO'!$A:$C,3,0)</f>
        <v>T1W</v>
      </c>
      <c r="L279" s="38">
        <v>60</v>
      </c>
      <c r="M279" s="58"/>
      <c r="N279" s="51">
        <f t="shared" si="4"/>
        <v>-60</v>
      </c>
      <c r="O279" s="40"/>
      <c r="P279" s="40">
        <v>46258</v>
      </c>
      <c r="Q279" s="34" t="s">
        <v>505</v>
      </c>
      <c r="R279" s="8" t="s">
        <v>548</v>
      </c>
      <c r="S279" s="18"/>
      <c r="T279" s="18"/>
      <c r="U279" s="33"/>
    </row>
    <row r="280" spans="1:21" ht="15.95" customHeight="1">
      <c r="A280" s="39">
        <v>9</v>
      </c>
      <c r="B280" s="40">
        <v>46161</v>
      </c>
      <c r="C280" s="40" t="s">
        <v>240</v>
      </c>
      <c r="D280" s="40" t="s">
        <v>7</v>
      </c>
      <c r="E280" s="49" t="s">
        <v>11</v>
      </c>
      <c r="F280" s="41" t="s">
        <v>12</v>
      </c>
      <c r="G280" s="41" t="s">
        <v>241</v>
      </c>
      <c r="H280" s="41" t="s">
        <v>479</v>
      </c>
      <c r="I280" s="46" t="s">
        <v>13</v>
      </c>
      <c r="J280" s="46" t="str">
        <f>VLOOKUP(I280,'DESCRICAO PRODUTO'!$A:$C,2,0)</f>
        <v>TORRE DE SOM AWS-T1W-02 BIVOLT BLUETOOTH</v>
      </c>
      <c r="K280" s="41" t="str">
        <f>VLOOKUP(I280,'DESCRICAO PRODUTO'!$A:$C,3,0)</f>
        <v>T1W</v>
      </c>
      <c r="L280" s="38">
        <v>30</v>
      </c>
      <c r="M280" s="58"/>
      <c r="N280" s="51">
        <f t="shared" si="4"/>
        <v>-30</v>
      </c>
      <c r="O280" s="40"/>
      <c r="P280" s="40">
        <v>46258</v>
      </c>
      <c r="Q280" s="34" t="s">
        <v>505</v>
      </c>
      <c r="R280" s="8" t="s">
        <v>548</v>
      </c>
      <c r="S280" s="18"/>
      <c r="T280" s="18"/>
      <c r="U280" s="33"/>
    </row>
    <row r="281" spans="1:21" ht="15.95" customHeight="1">
      <c r="A281" s="39">
        <v>9</v>
      </c>
      <c r="B281" s="40">
        <v>46161</v>
      </c>
      <c r="C281" s="40" t="s">
        <v>240</v>
      </c>
      <c r="D281" s="40" t="s">
        <v>7</v>
      </c>
      <c r="E281" s="49" t="s">
        <v>35</v>
      </c>
      <c r="F281" s="41" t="s">
        <v>36</v>
      </c>
      <c r="G281" s="41" t="s">
        <v>241</v>
      </c>
      <c r="H281" s="41" t="s">
        <v>479</v>
      </c>
      <c r="I281" s="46" t="s">
        <v>70</v>
      </c>
      <c r="J281" s="46" t="str">
        <f>VLOOKUP(I281,'DESCRICAO PRODUTO'!$A:$C,2,0)</f>
        <v>CAIXA AMPLIFICADA CM-150 BIVOLT .</v>
      </c>
      <c r="K281" s="41" t="str">
        <f>VLOOKUP(I281,'DESCRICAO PRODUTO'!$A:$C,3,0)</f>
        <v>CM150</v>
      </c>
      <c r="L281" s="38">
        <v>62</v>
      </c>
      <c r="M281" s="58">
        <v>62</v>
      </c>
      <c r="N281" s="51">
        <f t="shared" si="4"/>
        <v>0</v>
      </c>
      <c r="O281" s="40">
        <v>46232</v>
      </c>
      <c r="P281" s="40">
        <v>46247</v>
      </c>
      <c r="Q281" s="34" t="s">
        <v>455</v>
      </c>
      <c r="R281" s="8" t="s">
        <v>532</v>
      </c>
      <c r="S281" s="18">
        <v>31205</v>
      </c>
      <c r="T281" s="18" t="s">
        <v>531</v>
      </c>
      <c r="U281" s="33">
        <v>46262</v>
      </c>
    </row>
    <row r="282" spans="1:21" ht="15.95" customHeight="1">
      <c r="A282" s="39">
        <v>9</v>
      </c>
      <c r="B282" s="40">
        <v>46161</v>
      </c>
      <c r="C282" s="40" t="s">
        <v>240</v>
      </c>
      <c r="D282" s="40" t="s">
        <v>7</v>
      </c>
      <c r="E282" s="49" t="s">
        <v>35</v>
      </c>
      <c r="F282" s="41" t="s">
        <v>36</v>
      </c>
      <c r="G282" s="41" t="s">
        <v>241</v>
      </c>
      <c r="H282" s="41" t="s">
        <v>479</v>
      </c>
      <c r="I282" s="46" t="s">
        <v>70</v>
      </c>
      <c r="J282" s="46" t="str">
        <f>VLOOKUP(I282,'DESCRICAO PRODUTO'!$A:$C,2,0)</f>
        <v>CAIXA AMPLIFICADA CM-150 BIVOLT .</v>
      </c>
      <c r="K282" s="41" t="str">
        <f>VLOOKUP(I282,'DESCRICAO PRODUTO'!$A:$C,3,0)</f>
        <v>CM150</v>
      </c>
      <c r="L282" s="38">
        <v>159</v>
      </c>
      <c r="M282" s="58">
        <v>159</v>
      </c>
      <c r="N282" s="51">
        <f t="shared" si="4"/>
        <v>0</v>
      </c>
      <c r="O282" s="40">
        <v>46232</v>
      </c>
      <c r="P282" s="40">
        <v>46247</v>
      </c>
      <c r="Q282" s="34" t="s">
        <v>455</v>
      </c>
      <c r="R282" s="8" t="s">
        <v>532</v>
      </c>
      <c r="S282" s="18">
        <v>31205</v>
      </c>
      <c r="T282" s="18" t="s">
        <v>531</v>
      </c>
      <c r="U282" s="33">
        <v>46262</v>
      </c>
    </row>
    <row r="283" spans="1:21" ht="15.95" customHeight="1">
      <c r="A283" s="39">
        <v>9</v>
      </c>
      <c r="B283" s="40">
        <v>46161</v>
      </c>
      <c r="C283" s="40" t="s">
        <v>240</v>
      </c>
      <c r="D283" s="40" t="s">
        <v>7</v>
      </c>
      <c r="E283" s="49" t="s">
        <v>35</v>
      </c>
      <c r="F283" s="41" t="s">
        <v>36</v>
      </c>
      <c r="G283" s="41" t="s">
        <v>241</v>
      </c>
      <c r="H283" s="41" t="s">
        <v>479</v>
      </c>
      <c r="I283" s="46" t="s">
        <v>25</v>
      </c>
      <c r="J283" s="46" t="str">
        <f>VLOOKUP(I283,'DESCRICAO PRODUTO'!$A:$C,2,0)</f>
        <v>CAIXA AMPLIFICADA CM-150 BIVOLT .</v>
      </c>
      <c r="K283" s="41" t="str">
        <f>VLOOKUP(I283,'DESCRICAO PRODUTO'!$A:$C,3,0)</f>
        <v>CM150</v>
      </c>
      <c r="L283" s="38">
        <v>767</v>
      </c>
      <c r="M283" s="58">
        <v>767</v>
      </c>
      <c r="N283" s="51">
        <f t="shared" si="4"/>
        <v>0</v>
      </c>
      <c r="O283" s="40">
        <v>46232</v>
      </c>
      <c r="P283" s="40">
        <v>46247</v>
      </c>
      <c r="Q283" s="34" t="s">
        <v>455</v>
      </c>
      <c r="R283" s="8" t="s">
        <v>532</v>
      </c>
      <c r="S283" s="18">
        <v>31205</v>
      </c>
      <c r="T283" s="18" t="s">
        <v>531</v>
      </c>
      <c r="U283" s="33">
        <v>46262</v>
      </c>
    </row>
    <row r="284" spans="1:21" ht="15">
      <c r="A284" s="39">
        <v>9</v>
      </c>
      <c r="B284" s="40">
        <v>46161</v>
      </c>
      <c r="C284" s="40" t="s">
        <v>240</v>
      </c>
      <c r="D284" s="40" t="s">
        <v>7</v>
      </c>
      <c r="E284" s="49" t="s">
        <v>35</v>
      </c>
      <c r="F284" s="41" t="s">
        <v>36</v>
      </c>
      <c r="G284" s="41" t="s">
        <v>241</v>
      </c>
      <c r="H284" s="41" t="s">
        <v>479</v>
      </c>
      <c r="I284" s="46" t="s">
        <v>25</v>
      </c>
      <c r="J284" s="46" t="str">
        <f>VLOOKUP(I284,'DESCRICAO PRODUTO'!$A:$C,2,0)</f>
        <v>CAIXA AMPLIFICADA CM-150 BIVOLT .</v>
      </c>
      <c r="K284" s="41" t="str">
        <f>VLOOKUP(I284,'DESCRICAO PRODUTO'!$A:$C,3,0)</f>
        <v>CM150</v>
      </c>
      <c r="L284" s="38">
        <v>82</v>
      </c>
      <c r="M284" s="58">
        <v>199</v>
      </c>
      <c r="N284" s="51">
        <f t="shared" si="4"/>
        <v>117</v>
      </c>
      <c r="O284" s="40">
        <v>46232</v>
      </c>
      <c r="P284" s="40">
        <v>46247</v>
      </c>
      <c r="Q284" s="34" t="s">
        <v>455</v>
      </c>
      <c r="R284" s="8" t="s">
        <v>532</v>
      </c>
      <c r="S284" s="18">
        <v>31205</v>
      </c>
      <c r="T284" s="18" t="s">
        <v>531</v>
      </c>
      <c r="U284" s="33">
        <v>46262</v>
      </c>
    </row>
    <row r="285" spans="1:21" ht="15">
      <c r="A285" s="39">
        <v>9</v>
      </c>
      <c r="B285" s="40">
        <v>46161</v>
      </c>
      <c r="C285" s="40" t="s">
        <v>240</v>
      </c>
      <c r="D285" s="40" t="s">
        <v>7</v>
      </c>
      <c r="E285" s="49" t="s">
        <v>236</v>
      </c>
      <c r="F285" s="41" t="s">
        <v>38</v>
      </c>
      <c r="G285" s="41" t="s">
        <v>241</v>
      </c>
      <c r="H285" s="41" t="s">
        <v>479</v>
      </c>
      <c r="I285" s="46" t="s">
        <v>95</v>
      </c>
      <c r="J285" s="46" t="str">
        <f>VLOOKUP(I285,'DESCRICAO PRODUTO'!$A:$C,2,0)</f>
        <v>TV 55 ANDROID AWS-TV-55-BL-01</v>
      </c>
      <c r="K285" s="41" t="str">
        <f>VLOOKUP(I285,'DESCRICAO PRODUTO'!$A:$C,3,0)</f>
        <v>TV 55 ANDROID</v>
      </c>
      <c r="L285" s="38">
        <v>116</v>
      </c>
      <c r="M285" s="58"/>
      <c r="N285" s="51">
        <f t="shared" si="4"/>
        <v>-116</v>
      </c>
      <c r="O285" s="40">
        <v>46252</v>
      </c>
      <c r="P285" s="40">
        <v>46258</v>
      </c>
      <c r="Q285" s="34" t="s">
        <v>505</v>
      </c>
      <c r="R285" s="55" t="s">
        <v>548</v>
      </c>
      <c r="S285" s="18"/>
      <c r="T285" s="18"/>
      <c r="U285" s="33"/>
    </row>
    <row r="286" spans="1:21" ht="15">
      <c r="A286" s="39">
        <v>9</v>
      </c>
      <c r="B286" s="40">
        <v>46161</v>
      </c>
      <c r="C286" s="40" t="s">
        <v>240</v>
      </c>
      <c r="D286" s="40" t="s">
        <v>7</v>
      </c>
      <c r="E286" s="49" t="s">
        <v>143</v>
      </c>
      <c r="F286" s="41" t="s">
        <v>237</v>
      </c>
      <c r="G286" s="41" t="s">
        <v>233</v>
      </c>
      <c r="H286" s="41" t="s">
        <v>482</v>
      </c>
      <c r="I286" s="46" t="s">
        <v>22</v>
      </c>
      <c r="J286" s="46" t="str">
        <f>VLOOKUP(I286,'DESCRICAO PRODUTO'!$A:$C,2,0)</f>
        <v>MICRO-ONDAS MO-01-21-B 220V/60HZ .</v>
      </c>
      <c r="K286" s="41" t="str">
        <f>VLOOKUP(I286,'DESCRICAO PRODUTO'!$A:$C,3,0)</f>
        <v>MO 21L</v>
      </c>
      <c r="L286" s="38">
        <v>408</v>
      </c>
      <c r="M286" s="58"/>
      <c r="N286" s="51">
        <f t="shared" si="4"/>
        <v>-408</v>
      </c>
      <c r="O286" s="40">
        <v>46265</v>
      </c>
      <c r="P286" s="40">
        <v>46265</v>
      </c>
      <c r="Q286" s="34" t="s">
        <v>505</v>
      </c>
      <c r="R286" s="18" t="s">
        <v>552</v>
      </c>
      <c r="S286" s="18"/>
      <c r="T286" s="18"/>
      <c r="U286" s="33"/>
    </row>
    <row r="287" spans="1:21" ht="15">
      <c r="A287" s="39">
        <v>9</v>
      </c>
      <c r="B287" s="40">
        <v>46161</v>
      </c>
      <c r="C287" s="40" t="s">
        <v>240</v>
      </c>
      <c r="D287" s="40" t="s">
        <v>7</v>
      </c>
      <c r="E287" s="49" t="s">
        <v>143</v>
      </c>
      <c r="F287" s="41" t="s">
        <v>237</v>
      </c>
      <c r="G287" s="41" t="s">
        <v>233</v>
      </c>
      <c r="H287" s="41" t="s">
        <v>482</v>
      </c>
      <c r="I287" s="46" t="s">
        <v>72</v>
      </c>
      <c r="J287" s="46" t="str">
        <f>VLOOKUP(I287,'DESCRICAO PRODUTO'!$A:$C,2,0)</f>
        <v>MICRO-ONDAS MO-01-21-B 127V/60HZ</v>
      </c>
      <c r="K287" s="41" t="str">
        <f>VLOOKUP(I287,'DESCRICAO PRODUTO'!$A:$C,3,0)</f>
        <v>MO 21L</v>
      </c>
      <c r="L287" s="38">
        <v>152</v>
      </c>
      <c r="M287" s="58"/>
      <c r="N287" s="51">
        <f t="shared" si="4"/>
        <v>-152</v>
      </c>
      <c r="O287" s="40">
        <v>46265</v>
      </c>
      <c r="P287" s="40">
        <v>46265</v>
      </c>
      <c r="Q287" s="34" t="s">
        <v>505</v>
      </c>
      <c r="R287" s="18" t="s">
        <v>552</v>
      </c>
      <c r="S287" s="18"/>
      <c r="T287" s="18"/>
      <c r="U287" s="33"/>
    </row>
    <row r="288" spans="1:21" ht="15">
      <c r="A288" s="39">
        <v>9</v>
      </c>
      <c r="B288" s="40">
        <v>46161</v>
      </c>
      <c r="C288" s="40" t="s">
        <v>240</v>
      </c>
      <c r="D288" s="40" t="s">
        <v>7</v>
      </c>
      <c r="E288" s="49" t="s">
        <v>143</v>
      </c>
      <c r="F288" s="41" t="s">
        <v>237</v>
      </c>
      <c r="G288" s="41" t="s">
        <v>233</v>
      </c>
      <c r="H288" s="41" t="s">
        <v>482</v>
      </c>
      <c r="I288" s="46" t="s">
        <v>28</v>
      </c>
      <c r="J288" s="46" t="str">
        <f>VLOOKUP(I288,'DESCRICAO PRODUTO'!$A:$C,2,0)</f>
        <v>MICRO-ONDAS MO-01-21-B 220V/60HZ .</v>
      </c>
      <c r="K288" s="41" t="str">
        <f>VLOOKUP(I288,'DESCRICAO PRODUTO'!$A:$C,3,0)</f>
        <v>MO 21L</v>
      </c>
      <c r="L288" s="38">
        <v>165</v>
      </c>
      <c r="M288" s="58"/>
      <c r="N288" s="51">
        <f t="shared" si="4"/>
        <v>-165</v>
      </c>
      <c r="O288" s="40">
        <v>46265</v>
      </c>
      <c r="P288" s="40">
        <v>46265</v>
      </c>
      <c r="Q288" s="34" t="s">
        <v>505</v>
      </c>
      <c r="R288" s="18" t="s">
        <v>552</v>
      </c>
      <c r="S288" s="18"/>
      <c r="T288" s="18"/>
      <c r="U288" s="33"/>
    </row>
    <row r="289" spans="1:21" ht="15">
      <c r="A289" s="39">
        <v>9</v>
      </c>
      <c r="B289" s="40">
        <v>46161</v>
      </c>
      <c r="C289" s="40" t="s">
        <v>240</v>
      </c>
      <c r="D289" s="40" t="s">
        <v>7</v>
      </c>
      <c r="E289" s="49" t="s">
        <v>143</v>
      </c>
      <c r="F289" s="41" t="s">
        <v>237</v>
      </c>
      <c r="G289" s="41" t="s">
        <v>233</v>
      </c>
      <c r="H289" s="41" t="s">
        <v>482</v>
      </c>
      <c r="I289" s="46" t="s">
        <v>28</v>
      </c>
      <c r="J289" s="46" t="str">
        <f>VLOOKUP(I289,'DESCRICAO PRODUTO'!$A:$C,2,0)</f>
        <v>MICRO-ONDAS MO-01-21-B 220V/60HZ .</v>
      </c>
      <c r="K289" s="41" t="str">
        <f>VLOOKUP(I289,'DESCRICAO PRODUTO'!$A:$C,3,0)</f>
        <v>MO 21L</v>
      </c>
      <c r="L289" s="38">
        <v>263</v>
      </c>
      <c r="M289" s="58"/>
      <c r="N289" s="51">
        <f t="shared" si="4"/>
        <v>-263</v>
      </c>
      <c r="O289" s="40">
        <v>46265</v>
      </c>
      <c r="P289" s="40">
        <v>46265</v>
      </c>
      <c r="Q289" s="34" t="s">
        <v>505</v>
      </c>
      <c r="R289" s="18" t="s">
        <v>552</v>
      </c>
      <c r="S289" s="18"/>
      <c r="T289" s="18"/>
      <c r="U289" s="33"/>
    </row>
    <row r="290" spans="1:21" ht="15">
      <c r="A290" s="39">
        <v>9</v>
      </c>
      <c r="B290" s="40">
        <v>46161</v>
      </c>
      <c r="C290" s="40" t="s">
        <v>240</v>
      </c>
      <c r="D290" s="40" t="s">
        <v>7</v>
      </c>
      <c r="E290" s="49" t="s">
        <v>143</v>
      </c>
      <c r="F290" s="41" t="s">
        <v>237</v>
      </c>
      <c r="G290" s="41" t="s">
        <v>233</v>
      </c>
      <c r="H290" s="41" t="s">
        <v>482</v>
      </c>
      <c r="I290" s="46" t="s">
        <v>75</v>
      </c>
      <c r="J290" s="46" t="str">
        <f>VLOOKUP(I290,'DESCRICAO PRODUTO'!$A:$C,2,0)</f>
        <v>MICRO-ONDAS MO-01-21-W 127V/60HZ .</v>
      </c>
      <c r="K290" s="41" t="str">
        <f>VLOOKUP(I290,'DESCRICAO PRODUTO'!$A:$C,3,0)</f>
        <v>MO 21L</v>
      </c>
      <c r="L290" s="38">
        <v>9</v>
      </c>
      <c r="M290" s="58"/>
      <c r="N290" s="51">
        <f t="shared" si="4"/>
        <v>-9</v>
      </c>
      <c r="O290" s="40">
        <v>46265</v>
      </c>
      <c r="P290" s="40">
        <v>46265</v>
      </c>
      <c r="Q290" s="34" t="s">
        <v>505</v>
      </c>
      <c r="R290" s="18" t="s">
        <v>552</v>
      </c>
      <c r="S290" s="18"/>
      <c r="T290" s="18"/>
      <c r="U290" s="33"/>
    </row>
    <row r="291" spans="1:21" ht="15">
      <c r="A291" s="39">
        <v>9</v>
      </c>
      <c r="B291" s="40">
        <v>46161</v>
      </c>
      <c r="C291" s="40" t="s">
        <v>240</v>
      </c>
      <c r="D291" s="40" t="s">
        <v>7</v>
      </c>
      <c r="E291" s="49" t="s">
        <v>143</v>
      </c>
      <c r="F291" s="41" t="s">
        <v>237</v>
      </c>
      <c r="G291" s="41" t="s">
        <v>233</v>
      </c>
      <c r="H291" s="41" t="s">
        <v>482</v>
      </c>
      <c r="I291" s="46" t="s">
        <v>223</v>
      </c>
      <c r="J291" s="46" t="str">
        <f>VLOOKUP(I291,'DESCRICAO PRODUTO'!$A:$C,2,0)</f>
        <v>MICRO-ONDAS MO-01-21-W 220V/60HZ</v>
      </c>
      <c r="K291" s="41" t="str">
        <f>VLOOKUP(I291,'DESCRICAO PRODUTO'!$A:$C,3,0)</f>
        <v>MO 21L</v>
      </c>
      <c r="L291" s="38">
        <v>110</v>
      </c>
      <c r="M291" s="58"/>
      <c r="N291" s="51">
        <f t="shared" si="4"/>
        <v>-110</v>
      </c>
      <c r="O291" s="40">
        <v>46265</v>
      </c>
      <c r="P291" s="40">
        <v>46265</v>
      </c>
      <c r="Q291" s="34" t="s">
        <v>505</v>
      </c>
      <c r="R291" s="18" t="s">
        <v>552</v>
      </c>
      <c r="S291" s="18"/>
      <c r="T291" s="18"/>
      <c r="U291" s="33"/>
    </row>
    <row r="292" spans="1:21" ht="15">
      <c r="A292" s="39">
        <v>9</v>
      </c>
      <c r="B292" s="40">
        <v>46161</v>
      </c>
      <c r="C292" s="40" t="s">
        <v>240</v>
      </c>
      <c r="D292" s="40" t="s">
        <v>7</v>
      </c>
      <c r="E292" s="49" t="s">
        <v>511</v>
      </c>
      <c r="F292" s="41" t="s">
        <v>201</v>
      </c>
      <c r="G292" s="41" t="s">
        <v>233</v>
      </c>
      <c r="H292" s="41" t="s">
        <v>482</v>
      </c>
      <c r="I292" s="46" t="s">
        <v>76</v>
      </c>
      <c r="J292" s="46" t="str">
        <f>VLOOKUP(I292,'DESCRICAO PRODUTO'!$A:$C,2,0)</f>
        <v>MICRO-ONDAS MO-02-34-W 220V/60HZ .</v>
      </c>
      <c r="K292" s="41" t="str">
        <f>VLOOKUP(I292,'DESCRICAO PRODUTO'!$A:$C,3,0)</f>
        <v>MO 34L</v>
      </c>
      <c r="L292" s="38">
        <v>26</v>
      </c>
      <c r="M292" s="58">
        <v>26</v>
      </c>
      <c r="N292" s="51">
        <f t="shared" si="4"/>
        <v>0</v>
      </c>
      <c r="O292" s="40">
        <v>46240</v>
      </c>
      <c r="P292" s="40">
        <v>46245</v>
      </c>
      <c r="Q292" s="34" t="s">
        <v>455</v>
      </c>
      <c r="R292" s="18" t="s">
        <v>513</v>
      </c>
      <c r="S292" s="18">
        <v>31170</v>
      </c>
      <c r="T292" s="18" t="s">
        <v>516</v>
      </c>
      <c r="U292" s="33">
        <v>46260</v>
      </c>
    </row>
    <row r="293" spans="1:21" ht="15">
      <c r="A293" s="39">
        <v>9</v>
      </c>
      <c r="B293" s="40">
        <v>46161</v>
      </c>
      <c r="C293" s="40" t="s">
        <v>240</v>
      </c>
      <c r="D293" s="40" t="s">
        <v>7</v>
      </c>
      <c r="E293" s="49" t="s">
        <v>144</v>
      </c>
      <c r="F293" s="41" t="s">
        <v>238</v>
      </c>
      <c r="G293" s="41" t="s">
        <v>233</v>
      </c>
      <c r="H293" s="41" t="s">
        <v>482</v>
      </c>
      <c r="I293" s="46" t="s">
        <v>22</v>
      </c>
      <c r="J293" s="46" t="str">
        <f>VLOOKUP(I293,'DESCRICAO PRODUTO'!$A:$C,2,0)</f>
        <v>MICRO-ONDAS MO-01-21-B 220V/60HZ .</v>
      </c>
      <c r="K293" s="41" t="str">
        <f>VLOOKUP(I293,'DESCRICAO PRODUTO'!$A:$C,3,0)</f>
        <v>MO 21L</v>
      </c>
      <c r="L293" s="38">
        <v>408</v>
      </c>
      <c r="M293" s="58"/>
      <c r="N293" s="51">
        <f t="shared" si="4"/>
        <v>-408</v>
      </c>
      <c r="O293" s="40">
        <v>46265</v>
      </c>
      <c r="P293" s="40">
        <v>46265</v>
      </c>
      <c r="Q293" s="34" t="s">
        <v>505</v>
      </c>
      <c r="R293" s="18" t="s">
        <v>552</v>
      </c>
      <c r="S293" s="18"/>
      <c r="T293" s="18"/>
      <c r="U293" s="33"/>
    </row>
    <row r="294" spans="1:21" ht="15">
      <c r="A294" s="39">
        <v>9</v>
      </c>
      <c r="B294" s="40">
        <v>46161</v>
      </c>
      <c r="C294" s="40" t="s">
        <v>240</v>
      </c>
      <c r="D294" s="40" t="s">
        <v>7</v>
      </c>
      <c r="E294" s="49" t="s">
        <v>144</v>
      </c>
      <c r="F294" s="41" t="s">
        <v>238</v>
      </c>
      <c r="G294" s="41" t="s">
        <v>233</v>
      </c>
      <c r="H294" s="41" t="s">
        <v>482</v>
      </c>
      <c r="I294" s="46" t="s">
        <v>72</v>
      </c>
      <c r="J294" s="46" t="str">
        <f>VLOOKUP(I294,'DESCRICAO PRODUTO'!$A:$C,2,0)</f>
        <v>MICRO-ONDAS MO-01-21-B 127V/60HZ</v>
      </c>
      <c r="K294" s="41" t="str">
        <f>VLOOKUP(I294,'DESCRICAO PRODUTO'!$A:$C,3,0)</f>
        <v>MO 21L</v>
      </c>
      <c r="L294" s="38">
        <v>152</v>
      </c>
      <c r="M294" s="58"/>
      <c r="N294" s="51">
        <f t="shared" si="4"/>
        <v>-152</v>
      </c>
      <c r="O294" s="40">
        <v>46265</v>
      </c>
      <c r="P294" s="40">
        <v>46265</v>
      </c>
      <c r="Q294" s="34" t="s">
        <v>505</v>
      </c>
      <c r="R294" s="18" t="s">
        <v>552</v>
      </c>
      <c r="S294" s="18"/>
      <c r="T294" s="18"/>
      <c r="U294" s="33"/>
    </row>
    <row r="295" spans="1:21" ht="15">
      <c r="A295" s="39">
        <v>9</v>
      </c>
      <c r="B295" s="40">
        <v>46161</v>
      </c>
      <c r="C295" s="40" t="s">
        <v>240</v>
      </c>
      <c r="D295" s="40" t="s">
        <v>7</v>
      </c>
      <c r="E295" s="49" t="s">
        <v>144</v>
      </c>
      <c r="F295" s="41" t="s">
        <v>238</v>
      </c>
      <c r="G295" s="41" t="s">
        <v>233</v>
      </c>
      <c r="H295" s="41" t="s">
        <v>482</v>
      </c>
      <c r="I295" s="46" t="s">
        <v>28</v>
      </c>
      <c r="J295" s="46" t="str">
        <f>VLOOKUP(I295,'DESCRICAO PRODUTO'!$A:$C,2,0)</f>
        <v>MICRO-ONDAS MO-01-21-B 220V/60HZ .</v>
      </c>
      <c r="K295" s="41" t="str">
        <f>VLOOKUP(I295,'DESCRICAO PRODUTO'!$A:$C,3,0)</f>
        <v>MO 21L</v>
      </c>
      <c r="L295" s="38">
        <v>165</v>
      </c>
      <c r="M295" s="58"/>
      <c r="N295" s="51">
        <f t="shared" si="4"/>
        <v>-165</v>
      </c>
      <c r="O295" s="40">
        <v>46265</v>
      </c>
      <c r="P295" s="40">
        <v>46265</v>
      </c>
      <c r="Q295" s="34" t="s">
        <v>505</v>
      </c>
      <c r="R295" s="18" t="s">
        <v>552</v>
      </c>
      <c r="S295" s="18"/>
      <c r="T295" s="18"/>
      <c r="U295" s="33"/>
    </row>
    <row r="296" spans="1:21" ht="15">
      <c r="A296" s="39">
        <v>9</v>
      </c>
      <c r="B296" s="40">
        <v>46161</v>
      </c>
      <c r="C296" s="40" t="s">
        <v>240</v>
      </c>
      <c r="D296" s="40" t="s">
        <v>7</v>
      </c>
      <c r="E296" s="49" t="s">
        <v>144</v>
      </c>
      <c r="F296" s="41" t="s">
        <v>238</v>
      </c>
      <c r="G296" s="41" t="s">
        <v>233</v>
      </c>
      <c r="H296" s="41" t="s">
        <v>482</v>
      </c>
      <c r="I296" s="46" t="s">
        <v>28</v>
      </c>
      <c r="J296" s="46" t="str">
        <f>VLOOKUP(I296,'DESCRICAO PRODUTO'!$A:$C,2,0)</f>
        <v>MICRO-ONDAS MO-01-21-B 220V/60HZ .</v>
      </c>
      <c r="K296" s="41" t="str">
        <f>VLOOKUP(I296,'DESCRICAO PRODUTO'!$A:$C,3,0)</f>
        <v>MO 21L</v>
      </c>
      <c r="L296" s="38">
        <v>263</v>
      </c>
      <c r="M296" s="58"/>
      <c r="N296" s="51">
        <f t="shared" si="4"/>
        <v>-263</v>
      </c>
      <c r="O296" s="40">
        <v>46265</v>
      </c>
      <c r="P296" s="40">
        <v>46265</v>
      </c>
      <c r="Q296" s="34" t="s">
        <v>505</v>
      </c>
      <c r="R296" s="18" t="s">
        <v>552</v>
      </c>
      <c r="S296" s="18"/>
      <c r="T296" s="18"/>
      <c r="U296" s="33"/>
    </row>
    <row r="297" spans="1:21" ht="15">
      <c r="A297" s="39">
        <v>9</v>
      </c>
      <c r="B297" s="40">
        <v>46161</v>
      </c>
      <c r="C297" s="40" t="s">
        <v>240</v>
      </c>
      <c r="D297" s="40" t="s">
        <v>7</v>
      </c>
      <c r="E297" s="49" t="s">
        <v>144</v>
      </c>
      <c r="F297" s="41" t="s">
        <v>238</v>
      </c>
      <c r="G297" s="41" t="s">
        <v>233</v>
      </c>
      <c r="H297" s="41" t="s">
        <v>482</v>
      </c>
      <c r="I297" s="46" t="s">
        <v>75</v>
      </c>
      <c r="J297" s="46" t="str">
        <f>VLOOKUP(I297,'DESCRICAO PRODUTO'!$A:$C,2,0)</f>
        <v>MICRO-ONDAS MO-01-21-W 127V/60HZ .</v>
      </c>
      <c r="K297" s="41" t="str">
        <f>VLOOKUP(I297,'DESCRICAO PRODUTO'!$A:$C,3,0)</f>
        <v>MO 21L</v>
      </c>
      <c r="L297" s="38">
        <v>9</v>
      </c>
      <c r="M297" s="58"/>
      <c r="N297" s="51">
        <f t="shared" si="4"/>
        <v>-9</v>
      </c>
      <c r="O297" s="40">
        <v>46265</v>
      </c>
      <c r="P297" s="40">
        <v>46265</v>
      </c>
      <c r="Q297" s="34" t="s">
        <v>505</v>
      </c>
      <c r="R297" s="18" t="s">
        <v>552</v>
      </c>
      <c r="S297" s="18"/>
      <c r="T297" s="18"/>
      <c r="U297" s="33"/>
    </row>
    <row r="298" spans="1:21" ht="15">
      <c r="A298" s="39">
        <v>9</v>
      </c>
      <c r="B298" s="40">
        <v>46161</v>
      </c>
      <c r="C298" s="40" t="s">
        <v>240</v>
      </c>
      <c r="D298" s="40" t="s">
        <v>7</v>
      </c>
      <c r="E298" s="49" t="s">
        <v>144</v>
      </c>
      <c r="F298" s="41" t="s">
        <v>238</v>
      </c>
      <c r="G298" s="41" t="s">
        <v>233</v>
      </c>
      <c r="H298" s="41" t="s">
        <v>482</v>
      </c>
      <c r="I298" s="46" t="s">
        <v>223</v>
      </c>
      <c r="J298" s="46" t="str">
        <f>VLOOKUP(I298,'DESCRICAO PRODUTO'!$A:$C,2,0)</f>
        <v>MICRO-ONDAS MO-01-21-W 220V/60HZ</v>
      </c>
      <c r="K298" s="41" t="str">
        <f>VLOOKUP(I298,'DESCRICAO PRODUTO'!$A:$C,3,0)</f>
        <v>MO 21L</v>
      </c>
      <c r="L298" s="38">
        <v>110</v>
      </c>
      <c r="M298" s="58"/>
      <c r="N298" s="51">
        <f t="shared" si="4"/>
        <v>-110</v>
      </c>
      <c r="O298" s="40">
        <v>46265</v>
      </c>
      <c r="P298" s="40">
        <v>46265</v>
      </c>
      <c r="Q298" s="34" t="s">
        <v>505</v>
      </c>
      <c r="R298" s="18" t="s">
        <v>552</v>
      </c>
      <c r="S298" s="18"/>
      <c r="T298" s="18"/>
      <c r="U298" s="33"/>
    </row>
    <row r="299" spans="1:21" ht="15">
      <c r="A299" s="39">
        <v>9</v>
      </c>
      <c r="B299" s="40">
        <v>46161</v>
      </c>
      <c r="C299" s="40" t="s">
        <v>240</v>
      </c>
      <c r="D299" s="40" t="s">
        <v>7</v>
      </c>
      <c r="E299" s="49" t="s">
        <v>510</v>
      </c>
      <c r="F299" s="41" t="s">
        <v>198</v>
      </c>
      <c r="G299" s="41" t="s">
        <v>233</v>
      </c>
      <c r="H299" s="41" t="s">
        <v>482</v>
      </c>
      <c r="I299" s="46" t="s">
        <v>76</v>
      </c>
      <c r="J299" s="46" t="str">
        <f>VLOOKUP(I299,'DESCRICAO PRODUTO'!$A:$C,2,0)</f>
        <v>MICRO-ONDAS MO-02-34-W 220V/60HZ .</v>
      </c>
      <c r="K299" s="41" t="str">
        <f>VLOOKUP(I299,'DESCRICAO PRODUTO'!$A:$C,3,0)</f>
        <v>MO 34L</v>
      </c>
      <c r="L299" s="38">
        <v>26</v>
      </c>
      <c r="M299" s="58">
        <v>26</v>
      </c>
      <c r="N299" s="51">
        <f t="shared" si="4"/>
        <v>0</v>
      </c>
      <c r="O299" s="40">
        <v>46240</v>
      </c>
      <c r="P299" s="40">
        <v>46245</v>
      </c>
      <c r="Q299" s="34" t="s">
        <v>455</v>
      </c>
      <c r="R299" s="18" t="s">
        <v>513</v>
      </c>
      <c r="S299" s="18">
        <v>31170</v>
      </c>
      <c r="T299" s="18" t="s">
        <v>516</v>
      </c>
      <c r="U299" s="33">
        <v>46260</v>
      </c>
    </row>
    <row r="300" spans="1:21" ht="15">
      <c r="A300" s="39">
        <v>9</v>
      </c>
      <c r="B300" s="40">
        <v>46161</v>
      </c>
      <c r="C300" s="40" t="s">
        <v>240</v>
      </c>
      <c r="D300" s="40" t="s">
        <v>7</v>
      </c>
      <c r="E300" s="49" t="s">
        <v>145</v>
      </c>
      <c r="F300" s="41" t="s">
        <v>146</v>
      </c>
      <c r="G300" s="41" t="s">
        <v>233</v>
      </c>
      <c r="H300" s="41" t="s">
        <v>481</v>
      </c>
      <c r="I300" s="46" t="s">
        <v>22</v>
      </c>
      <c r="J300" s="46" t="str">
        <f>VLOOKUP(I300,'DESCRICAO PRODUTO'!$A:$C,2,0)</f>
        <v>MICRO-ONDAS MO-01-21-B 220V/60HZ .</v>
      </c>
      <c r="K300" s="41" t="str">
        <f>VLOOKUP(I300,'DESCRICAO PRODUTO'!$A:$C,3,0)</f>
        <v>MO 21L</v>
      </c>
      <c r="L300" s="38">
        <v>408</v>
      </c>
      <c r="M300" s="58">
        <v>660</v>
      </c>
      <c r="N300" s="51">
        <f t="shared" si="4"/>
        <v>252</v>
      </c>
      <c r="O300" s="40">
        <v>46252</v>
      </c>
      <c r="P300" s="40">
        <v>46253</v>
      </c>
      <c r="Q300" s="34" t="s">
        <v>455</v>
      </c>
      <c r="R300" s="18" t="s">
        <v>560</v>
      </c>
      <c r="S300" s="18">
        <v>31244</v>
      </c>
      <c r="T300" s="18" t="s">
        <v>559</v>
      </c>
      <c r="U300" s="33">
        <v>46269</v>
      </c>
    </row>
    <row r="301" spans="1:21" ht="15">
      <c r="A301" s="39">
        <v>9</v>
      </c>
      <c r="B301" s="40">
        <v>46161</v>
      </c>
      <c r="C301" s="40" t="s">
        <v>240</v>
      </c>
      <c r="D301" s="40" t="s">
        <v>7</v>
      </c>
      <c r="E301" s="49" t="s">
        <v>311</v>
      </c>
      <c r="F301" s="41" t="s">
        <v>146</v>
      </c>
      <c r="G301" s="41" t="s">
        <v>233</v>
      </c>
      <c r="H301" s="41" t="s">
        <v>481</v>
      </c>
      <c r="I301" s="46" t="s">
        <v>72</v>
      </c>
      <c r="J301" s="46" t="str">
        <f>VLOOKUP(I301,'DESCRICAO PRODUTO'!$A:$C,2,0)</f>
        <v>MICRO-ONDAS MO-01-21-B 127V/60HZ</v>
      </c>
      <c r="K301" s="41" t="str">
        <f>VLOOKUP(I301,'DESCRICAO PRODUTO'!$A:$C,3,0)</f>
        <v>MO 21L</v>
      </c>
      <c r="L301" s="38">
        <v>152</v>
      </c>
      <c r="M301" s="58">
        <v>152</v>
      </c>
      <c r="N301" s="51">
        <f t="shared" si="4"/>
        <v>0</v>
      </c>
      <c r="O301" s="40">
        <v>46241</v>
      </c>
      <c r="P301" s="40">
        <v>46247</v>
      </c>
      <c r="Q301" s="34" t="s">
        <v>455</v>
      </c>
      <c r="R301" s="8" t="s">
        <v>523</v>
      </c>
      <c r="S301" s="18">
        <v>31194</v>
      </c>
      <c r="T301" s="18" t="s">
        <v>531</v>
      </c>
      <c r="U301" s="33">
        <v>46262</v>
      </c>
    </row>
    <row r="302" spans="1:21" ht="15">
      <c r="A302" s="39">
        <v>9</v>
      </c>
      <c r="B302" s="40">
        <v>46161</v>
      </c>
      <c r="C302" s="40" t="s">
        <v>240</v>
      </c>
      <c r="D302" s="40" t="s">
        <v>7</v>
      </c>
      <c r="E302" s="49" t="s">
        <v>311</v>
      </c>
      <c r="F302" s="41" t="s">
        <v>146</v>
      </c>
      <c r="G302" s="41" t="s">
        <v>233</v>
      </c>
      <c r="H302" s="41" t="s">
        <v>481</v>
      </c>
      <c r="I302" s="46" t="s">
        <v>28</v>
      </c>
      <c r="J302" s="46" t="str">
        <f>VLOOKUP(I302,'DESCRICAO PRODUTO'!$A:$C,2,0)</f>
        <v>MICRO-ONDAS MO-01-21-B 220V/60HZ .</v>
      </c>
      <c r="K302" s="41" t="str">
        <f>VLOOKUP(I302,'DESCRICAO PRODUTO'!$A:$C,3,0)</f>
        <v>MO 21L</v>
      </c>
      <c r="L302" s="38">
        <v>165</v>
      </c>
      <c r="M302" s="58">
        <v>165</v>
      </c>
      <c r="N302" s="51">
        <f t="shared" si="4"/>
        <v>0</v>
      </c>
      <c r="O302" s="40">
        <v>46241</v>
      </c>
      <c r="P302" s="40">
        <v>46247</v>
      </c>
      <c r="Q302" s="34" t="s">
        <v>455</v>
      </c>
      <c r="R302" s="8" t="s">
        <v>523</v>
      </c>
      <c r="S302" s="18">
        <v>31194</v>
      </c>
      <c r="T302" s="18" t="s">
        <v>531</v>
      </c>
      <c r="U302" s="33">
        <v>46262</v>
      </c>
    </row>
    <row r="303" spans="1:21" ht="15">
      <c r="A303" s="39">
        <v>9</v>
      </c>
      <c r="B303" s="40">
        <v>46161</v>
      </c>
      <c r="C303" s="40" t="s">
        <v>240</v>
      </c>
      <c r="D303" s="40" t="s">
        <v>7</v>
      </c>
      <c r="E303" s="49" t="s">
        <v>311</v>
      </c>
      <c r="F303" s="41" t="s">
        <v>146</v>
      </c>
      <c r="G303" s="41" t="s">
        <v>233</v>
      </c>
      <c r="H303" s="41" t="s">
        <v>481</v>
      </c>
      <c r="I303" s="46" t="s">
        <v>28</v>
      </c>
      <c r="J303" s="46" t="str">
        <f>VLOOKUP(I303,'DESCRICAO PRODUTO'!$A:$C,2,0)</f>
        <v>MICRO-ONDAS MO-01-21-B 220V/60HZ .</v>
      </c>
      <c r="K303" s="41" t="str">
        <f>VLOOKUP(I303,'DESCRICAO PRODUTO'!$A:$C,3,0)</f>
        <v>MO 21L</v>
      </c>
      <c r="L303" s="38">
        <v>263</v>
      </c>
      <c r="M303" s="58">
        <v>263</v>
      </c>
      <c r="N303" s="51">
        <f t="shared" si="4"/>
        <v>0</v>
      </c>
      <c r="O303" s="40">
        <v>46241</v>
      </c>
      <c r="P303" s="40">
        <v>46247</v>
      </c>
      <c r="Q303" s="34" t="s">
        <v>455</v>
      </c>
      <c r="R303" s="8" t="s">
        <v>523</v>
      </c>
      <c r="S303" s="18">
        <v>31194</v>
      </c>
      <c r="T303" s="18" t="s">
        <v>531</v>
      </c>
      <c r="U303" s="33">
        <v>46262</v>
      </c>
    </row>
    <row r="304" spans="1:21" ht="29.25">
      <c r="A304" s="39">
        <v>9</v>
      </c>
      <c r="B304" s="40">
        <v>46161</v>
      </c>
      <c r="C304" s="40" t="s">
        <v>240</v>
      </c>
      <c r="D304" s="40" t="s">
        <v>7</v>
      </c>
      <c r="E304" s="49" t="s">
        <v>312</v>
      </c>
      <c r="F304" s="41" t="s">
        <v>325</v>
      </c>
      <c r="G304" s="41" t="s">
        <v>233</v>
      </c>
      <c r="H304" s="41" t="s">
        <v>481</v>
      </c>
      <c r="I304" s="46" t="s">
        <v>75</v>
      </c>
      <c r="J304" s="46" t="str">
        <f>VLOOKUP(I304,'DESCRICAO PRODUTO'!$A:$C,2,0)</f>
        <v>MICRO-ONDAS MO-01-21-W 127V/60HZ .</v>
      </c>
      <c r="K304" s="41" t="str">
        <f>VLOOKUP(I304,'DESCRICAO PRODUTO'!$A:$C,3,0)</f>
        <v>MO 21L</v>
      </c>
      <c r="L304" s="38">
        <v>9</v>
      </c>
      <c r="M304" s="58"/>
      <c r="N304" s="51">
        <f t="shared" si="4"/>
        <v>-9</v>
      </c>
      <c r="O304" s="40">
        <v>46233</v>
      </c>
      <c r="P304" s="40">
        <v>46258</v>
      </c>
      <c r="Q304" s="34" t="s">
        <v>505</v>
      </c>
      <c r="R304" s="8" t="s">
        <v>537</v>
      </c>
      <c r="S304" s="18"/>
      <c r="T304" s="18"/>
      <c r="U304" s="33"/>
    </row>
    <row r="305" spans="1:21" ht="29.25">
      <c r="A305" s="39">
        <v>9</v>
      </c>
      <c r="B305" s="40">
        <v>46161</v>
      </c>
      <c r="C305" s="40" t="s">
        <v>240</v>
      </c>
      <c r="D305" s="40" t="s">
        <v>7</v>
      </c>
      <c r="E305" s="49" t="s">
        <v>312</v>
      </c>
      <c r="F305" s="41" t="s">
        <v>325</v>
      </c>
      <c r="G305" s="41" t="s">
        <v>233</v>
      </c>
      <c r="H305" s="41" t="s">
        <v>481</v>
      </c>
      <c r="I305" s="46" t="s">
        <v>223</v>
      </c>
      <c r="J305" s="46" t="str">
        <f>VLOOKUP(I305,'DESCRICAO PRODUTO'!$A:$C,2,0)</f>
        <v>MICRO-ONDAS MO-01-21-W 220V/60HZ</v>
      </c>
      <c r="K305" s="41" t="str">
        <f>VLOOKUP(I305,'DESCRICAO PRODUTO'!$A:$C,3,0)</f>
        <v>MO 21L</v>
      </c>
      <c r="L305" s="38">
        <v>110</v>
      </c>
      <c r="M305" s="58"/>
      <c r="N305" s="51">
        <f t="shared" si="4"/>
        <v>-110</v>
      </c>
      <c r="O305" s="40">
        <v>46233</v>
      </c>
      <c r="P305" s="40">
        <v>46258</v>
      </c>
      <c r="Q305" s="34" t="s">
        <v>505</v>
      </c>
      <c r="R305" s="8" t="s">
        <v>537</v>
      </c>
      <c r="S305" s="18"/>
      <c r="T305" s="18"/>
      <c r="U305" s="33"/>
    </row>
    <row r="306" spans="1:21" ht="29.25">
      <c r="A306" s="39">
        <v>9</v>
      </c>
      <c r="B306" s="40">
        <v>46161</v>
      </c>
      <c r="C306" s="40" t="s">
        <v>240</v>
      </c>
      <c r="D306" s="40" t="s">
        <v>7</v>
      </c>
      <c r="E306" s="49" t="s">
        <v>153</v>
      </c>
      <c r="F306" s="41" t="s">
        <v>154</v>
      </c>
      <c r="G306" s="41" t="s">
        <v>233</v>
      </c>
      <c r="H306" s="41" t="s">
        <v>481</v>
      </c>
      <c r="I306" s="46" t="s">
        <v>76</v>
      </c>
      <c r="J306" s="46" t="str">
        <f>VLOOKUP(I306,'DESCRICAO PRODUTO'!$A:$C,2,0)</f>
        <v>MICRO-ONDAS MO-02-34-W 220V/60HZ .</v>
      </c>
      <c r="K306" s="41" t="str">
        <f>VLOOKUP(I306,'DESCRICAO PRODUTO'!$A:$C,3,0)</f>
        <v>MO 34L</v>
      </c>
      <c r="L306" s="38">
        <v>26</v>
      </c>
      <c r="M306" s="58"/>
      <c r="N306" s="51">
        <f t="shared" si="4"/>
        <v>-26</v>
      </c>
      <c r="O306" s="40">
        <v>46233</v>
      </c>
      <c r="P306" s="40">
        <v>46258</v>
      </c>
      <c r="Q306" s="34" t="s">
        <v>505</v>
      </c>
      <c r="R306" s="8" t="s">
        <v>537</v>
      </c>
      <c r="S306" s="18"/>
      <c r="T306" s="18"/>
      <c r="U306" s="33"/>
    </row>
    <row r="307" spans="1:21" ht="15">
      <c r="A307" s="39">
        <v>9</v>
      </c>
      <c r="B307" s="40">
        <v>46161</v>
      </c>
      <c r="C307" s="40" t="s">
        <v>240</v>
      </c>
      <c r="D307" s="40" t="s">
        <v>7</v>
      </c>
      <c r="E307" s="49" t="s">
        <v>511</v>
      </c>
      <c r="F307" s="41" t="s">
        <v>201</v>
      </c>
      <c r="G307" s="41" t="s">
        <v>233</v>
      </c>
      <c r="H307" s="41" t="s">
        <v>482</v>
      </c>
      <c r="I307" s="46" t="s">
        <v>78</v>
      </c>
      <c r="J307" s="46" t="str">
        <f>VLOOKUP(I307,'DESCRICAO PRODUTO'!$A:$C,2,0)</f>
        <v>MICRO-ONDAS MO-02-34-W 220V/60HZ .</v>
      </c>
      <c r="K307" s="41" t="str">
        <f>VLOOKUP(I307,'DESCRICAO PRODUTO'!$A:$C,3,0)</f>
        <v>MO 34L</v>
      </c>
      <c r="L307" s="38">
        <v>81</v>
      </c>
      <c r="M307" s="58">
        <v>81</v>
      </c>
      <c r="N307" s="51">
        <f t="shared" si="4"/>
        <v>0</v>
      </c>
      <c r="O307" s="40">
        <v>46241</v>
      </c>
      <c r="P307" s="40">
        <v>46245</v>
      </c>
      <c r="Q307" s="34" t="s">
        <v>455</v>
      </c>
      <c r="R307" s="8" t="s">
        <v>515</v>
      </c>
      <c r="S307" s="18">
        <v>31173</v>
      </c>
      <c r="T307" s="18" t="s">
        <v>519</v>
      </c>
      <c r="U307" s="33">
        <v>46260</v>
      </c>
    </row>
    <row r="308" spans="1:21" ht="15">
      <c r="A308" s="39">
        <v>9</v>
      </c>
      <c r="B308" s="40">
        <v>46161</v>
      </c>
      <c r="C308" s="40" t="s">
        <v>240</v>
      </c>
      <c r="D308" s="40" t="s">
        <v>7</v>
      </c>
      <c r="E308" s="49" t="s">
        <v>511</v>
      </c>
      <c r="F308" s="41" t="s">
        <v>201</v>
      </c>
      <c r="G308" s="41" t="s">
        <v>233</v>
      </c>
      <c r="H308" s="41" t="s">
        <v>482</v>
      </c>
      <c r="I308" s="46" t="s">
        <v>21</v>
      </c>
      <c r="J308" s="46" t="str">
        <f>VLOOKUP(I308,'DESCRICAO PRODUTO'!$A:$C,2,0)</f>
        <v>MICRO-ONDAS MO-02-34-E 127V/60HZ .</v>
      </c>
      <c r="K308" s="41" t="str">
        <f>VLOOKUP(I308,'DESCRICAO PRODUTO'!$A:$C,3,0)</f>
        <v>MO 34L</v>
      </c>
      <c r="L308" s="38">
        <v>48</v>
      </c>
      <c r="M308" s="58">
        <v>48</v>
      </c>
      <c r="N308" s="51">
        <f t="shared" si="4"/>
        <v>0</v>
      </c>
      <c r="O308" s="40">
        <v>46240</v>
      </c>
      <c r="P308" s="40">
        <v>46245</v>
      </c>
      <c r="Q308" s="34" t="s">
        <v>455</v>
      </c>
      <c r="R308" s="8" t="s">
        <v>513</v>
      </c>
      <c r="S308" s="18">
        <v>31170</v>
      </c>
      <c r="T308" s="18" t="s">
        <v>516</v>
      </c>
      <c r="U308" s="33">
        <v>46260</v>
      </c>
    </row>
    <row r="309" spans="1:21" ht="15">
      <c r="A309" s="39">
        <v>9</v>
      </c>
      <c r="B309" s="40">
        <v>46161</v>
      </c>
      <c r="C309" s="40" t="s">
        <v>240</v>
      </c>
      <c r="D309" s="40" t="s">
        <v>7</v>
      </c>
      <c r="E309" s="49" t="s">
        <v>511</v>
      </c>
      <c r="F309" s="41" t="s">
        <v>201</v>
      </c>
      <c r="G309" s="41" t="s">
        <v>233</v>
      </c>
      <c r="H309" s="41" t="s">
        <v>482</v>
      </c>
      <c r="I309" s="46" t="s">
        <v>79</v>
      </c>
      <c r="J309" s="46" t="str">
        <f>VLOOKUP(I309,'DESCRICAO PRODUTO'!$A:$C,2,0)</f>
        <v>MICRO-ONDAS MO-02-34-E 220V/60HZ .</v>
      </c>
      <c r="K309" s="41" t="str">
        <f>VLOOKUP(I309,'DESCRICAO PRODUTO'!$A:$C,3,0)</f>
        <v>MO 34L</v>
      </c>
      <c r="L309" s="38">
        <v>16</v>
      </c>
      <c r="M309" s="58">
        <v>16</v>
      </c>
      <c r="N309" s="51">
        <f t="shared" si="4"/>
        <v>0</v>
      </c>
      <c r="O309" s="40">
        <v>46240</v>
      </c>
      <c r="P309" s="40">
        <v>46245</v>
      </c>
      <c r="Q309" s="34" t="s">
        <v>455</v>
      </c>
      <c r="R309" s="8" t="s">
        <v>513</v>
      </c>
      <c r="S309" s="18">
        <v>31170</v>
      </c>
      <c r="T309" s="18" t="s">
        <v>516</v>
      </c>
      <c r="U309" s="33">
        <v>46260</v>
      </c>
    </row>
    <row r="310" spans="1:21" ht="15">
      <c r="A310" s="39">
        <v>9</v>
      </c>
      <c r="B310" s="40">
        <v>46161</v>
      </c>
      <c r="C310" s="40" t="s">
        <v>240</v>
      </c>
      <c r="D310" s="40" t="s">
        <v>7</v>
      </c>
      <c r="E310" s="49" t="s">
        <v>511</v>
      </c>
      <c r="F310" s="41" t="s">
        <v>201</v>
      </c>
      <c r="G310" s="41" t="s">
        <v>233</v>
      </c>
      <c r="H310" s="41" t="s">
        <v>482</v>
      </c>
      <c r="I310" s="46" t="s">
        <v>80</v>
      </c>
      <c r="J310" s="46" t="str">
        <f>VLOOKUP(I310,'DESCRICAO PRODUTO'!$A:$C,2,0)</f>
        <v>MICRO-ONDAS MO-02-34-E 127V/60HZ .</v>
      </c>
      <c r="K310" s="41" t="str">
        <f>VLOOKUP(I310,'DESCRICAO PRODUTO'!$A:$C,3,0)</f>
        <v>MO 34L</v>
      </c>
      <c r="L310" s="38">
        <v>65</v>
      </c>
      <c r="M310" s="58">
        <v>65</v>
      </c>
      <c r="N310" s="51">
        <f t="shared" si="4"/>
        <v>0</v>
      </c>
      <c r="O310" s="40">
        <v>46240</v>
      </c>
      <c r="P310" s="40">
        <v>46245</v>
      </c>
      <c r="Q310" s="34" t="s">
        <v>455</v>
      </c>
      <c r="R310" s="8" t="s">
        <v>513</v>
      </c>
      <c r="S310" s="18">
        <v>31170</v>
      </c>
      <c r="T310" s="18" t="s">
        <v>516</v>
      </c>
      <c r="U310" s="33">
        <v>46260</v>
      </c>
    </row>
    <row r="311" spans="1:21" ht="15">
      <c r="A311" s="39">
        <v>9</v>
      </c>
      <c r="B311" s="40">
        <v>46161</v>
      </c>
      <c r="C311" s="40" t="s">
        <v>240</v>
      </c>
      <c r="D311" s="40" t="s">
        <v>7</v>
      </c>
      <c r="E311" s="49" t="s">
        <v>511</v>
      </c>
      <c r="F311" s="41" t="s">
        <v>201</v>
      </c>
      <c r="G311" s="41" t="s">
        <v>233</v>
      </c>
      <c r="H311" s="41" t="s">
        <v>482</v>
      </c>
      <c r="I311" s="46" t="s">
        <v>81</v>
      </c>
      <c r="J311" s="46" t="str">
        <f>VLOOKUP(I311,'DESCRICAO PRODUTO'!$A:$C,2,0)</f>
        <v>MICRO-ONDAS MO-02-34-E 220V/60HZ .</v>
      </c>
      <c r="K311" s="41" t="str">
        <f>VLOOKUP(I311,'DESCRICAO PRODUTO'!$A:$C,3,0)</f>
        <v>MO 34L</v>
      </c>
      <c r="L311" s="38">
        <v>105</v>
      </c>
      <c r="M311" s="58">
        <v>105</v>
      </c>
      <c r="N311" s="51">
        <f t="shared" si="4"/>
        <v>0</v>
      </c>
      <c r="O311" s="40">
        <v>46241</v>
      </c>
      <c r="P311" s="40">
        <v>46245</v>
      </c>
      <c r="Q311" s="34" t="s">
        <v>455</v>
      </c>
      <c r="R311" s="8" t="s">
        <v>515</v>
      </c>
      <c r="S311" s="18">
        <v>31173</v>
      </c>
      <c r="T311" s="18" t="s">
        <v>519</v>
      </c>
      <c r="U311" s="33">
        <v>46260</v>
      </c>
    </row>
    <row r="312" spans="1:21" ht="15">
      <c r="A312" s="39">
        <v>9</v>
      </c>
      <c r="B312" s="40">
        <v>46161</v>
      </c>
      <c r="C312" s="40" t="s">
        <v>240</v>
      </c>
      <c r="D312" s="40" t="s">
        <v>7</v>
      </c>
      <c r="E312" s="49" t="s">
        <v>511</v>
      </c>
      <c r="F312" s="41" t="s">
        <v>201</v>
      </c>
      <c r="G312" s="41" t="s">
        <v>233</v>
      </c>
      <c r="H312" s="41" t="s">
        <v>482</v>
      </c>
      <c r="I312" s="46" t="s">
        <v>81</v>
      </c>
      <c r="J312" s="46" t="str">
        <f>VLOOKUP(I312,'DESCRICAO PRODUTO'!$A:$C,2,0)</f>
        <v>MICRO-ONDAS MO-02-34-E 220V/60HZ .</v>
      </c>
      <c r="K312" s="41" t="str">
        <f>VLOOKUP(I312,'DESCRICAO PRODUTO'!$A:$C,3,0)</f>
        <v>MO 34L</v>
      </c>
      <c r="L312" s="38">
        <v>157</v>
      </c>
      <c r="M312" s="58">
        <v>157</v>
      </c>
      <c r="N312" s="51">
        <f t="shared" si="4"/>
        <v>0</v>
      </c>
      <c r="O312" s="40">
        <v>46241</v>
      </c>
      <c r="P312" s="40">
        <v>46245</v>
      </c>
      <c r="Q312" s="34" t="s">
        <v>455</v>
      </c>
      <c r="R312" s="8" t="s">
        <v>515</v>
      </c>
      <c r="S312" s="18">
        <v>31173</v>
      </c>
      <c r="T312" s="18" t="s">
        <v>519</v>
      </c>
      <c r="U312" s="33">
        <v>46260</v>
      </c>
    </row>
    <row r="313" spans="1:21" ht="15">
      <c r="A313" s="39">
        <v>9</v>
      </c>
      <c r="B313" s="40">
        <v>46161</v>
      </c>
      <c r="C313" s="40" t="s">
        <v>240</v>
      </c>
      <c r="D313" s="40" t="s">
        <v>7</v>
      </c>
      <c r="E313" s="49" t="s">
        <v>143</v>
      </c>
      <c r="F313" s="41" t="s">
        <v>237</v>
      </c>
      <c r="G313" s="41" t="s">
        <v>233</v>
      </c>
      <c r="H313" s="41" t="s">
        <v>482</v>
      </c>
      <c r="I313" s="46" t="s">
        <v>82</v>
      </c>
      <c r="J313" s="46" t="str">
        <f>VLOOKUP(I313,'DESCRICAO PRODUTO'!$A:$C,2,0)</f>
        <v>MICRO-ONDAS MO-01-21-E 127V/60HZ</v>
      </c>
      <c r="K313" s="41" t="str">
        <f>VLOOKUP(I313,'DESCRICAO PRODUTO'!$A:$C,3,0)</f>
        <v>MO 21L</v>
      </c>
      <c r="L313" s="38">
        <v>364</v>
      </c>
      <c r="M313" s="58"/>
      <c r="N313" s="51">
        <f t="shared" si="4"/>
        <v>-364</v>
      </c>
      <c r="O313" s="40">
        <v>46265</v>
      </c>
      <c r="P313" s="40">
        <v>46265</v>
      </c>
      <c r="Q313" s="34" t="s">
        <v>505</v>
      </c>
      <c r="R313" s="18" t="s">
        <v>552</v>
      </c>
      <c r="S313" s="18"/>
      <c r="T313" s="18"/>
      <c r="U313" s="33"/>
    </row>
    <row r="314" spans="1:21" ht="15">
      <c r="A314" s="39">
        <v>9</v>
      </c>
      <c r="B314" s="40">
        <v>46161</v>
      </c>
      <c r="C314" s="40" t="s">
        <v>240</v>
      </c>
      <c r="D314" s="40" t="s">
        <v>7</v>
      </c>
      <c r="E314" s="49" t="s">
        <v>144</v>
      </c>
      <c r="F314" s="41" t="s">
        <v>238</v>
      </c>
      <c r="G314" s="41" t="s">
        <v>233</v>
      </c>
      <c r="H314" s="41" t="s">
        <v>482</v>
      </c>
      <c r="I314" s="46" t="s">
        <v>222</v>
      </c>
      <c r="J314" s="46" t="str">
        <f>VLOOKUP(I314,'DESCRICAO PRODUTO'!$A:$C,2,0)</f>
        <v>MICRO-ONDAS MO-01-21-E 220V/60HZ</v>
      </c>
      <c r="K314" s="41" t="str">
        <f>VLOOKUP(I314,'DESCRICAO PRODUTO'!$A:$C,3,0)</f>
        <v>MO 21L</v>
      </c>
      <c r="L314" s="38">
        <v>1</v>
      </c>
      <c r="M314" s="58"/>
      <c r="N314" s="51">
        <f t="shared" si="4"/>
        <v>-1</v>
      </c>
      <c r="O314" s="40">
        <v>46265</v>
      </c>
      <c r="P314" s="40">
        <v>46265</v>
      </c>
      <c r="Q314" s="34" t="s">
        <v>505</v>
      </c>
      <c r="R314" s="18" t="s">
        <v>552</v>
      </c>
      <c r="S314" s="18"/>
      <c r="T314" s="18"/>
      <c r="U314" s="33"/>
    </row>
    <row r="315" spans="1:21" ht="15">
      <c r="A315" s="39">
        <v>9</v>
      </c>
      <c r="B315" s="40">
        <v>46161</v>
      </c>
      <c r="C315" s="40" t="s">
        <v>240</v>
      </c>
      <c r="D315" s="40" t="s">
        <v>7</v>
      </c>
      <c r="E315" s="49" t="s">
        <v>511</v>
      </c>
      <c r="F315" s="41" t="s">
        <v>201</v>
      </c>
      <c r="G315" s="41" t="s">
        <v>233</v>
      </c>
      <c r="H315" s="41" t="s">
        <v>482</v>
      </c>
      <c r="I315" s="46" t="s">
        <v>84</v>
      </c>
      <c r="J315" s="46" t="str">
        <f>VLOOKUP(I315,'DESCRICAO PRODUTO'!$A:$C,2,0)</f>
        <v>MICRO-ONDAS MO-02-34-B 127V/60HZ .</v>
      </c>
      <c r="K315" s="41" t="str">
        <f>VLOOKUP(I315,'DESCRICAO PRODUTO'!$A:$C,3,0)</f>
        <v>MO 34L</v>
      </c>
      <c r="L315" s="38">
        <v>5</v>
      </c>
      <c r="M315" s="58">
        <v>5</v>
      </c>
      <c r="N315" s="51">
        <f t="shared" si="4"/>
        <v>0</v>
      </c>
      <c r="O315" s="40">
        <v>46241</v>
      </c>
      <c r="P315" s="40">
        <v>46245</v>
      </c>
      <c r="Q315" s="34" t="s">
        <v>455</v>
      </c>
      <c r="R315" s="8" t="s">
        <v>515</v>
      </c>
      <c r="S315" s="18">
        <v>31173</v>
      </c>
      <c r="T315" s="18" t="s">
        <v>519</v>
      </c>
      <c r="U315" s="33">
        <v>46260</v>
      </c>
    </row>
    <row r="316" spans="1:21" ht="15">
      <c r="A316" s="39">
        <v>9</v>
      </c>
      <c r="B316" s="40">
        <v>46161</v>
      </c>
      <c r="C316" s="40" t="s">
        <v>240</v>
      </c>
      <c r="D316" s="40" t="s">
        <v>7</v>
      </c>
      <c r="E316" s="49" t="s">
        <v>511</v>
      </c>
      <c r="F316" s="41" t="s">
        <v>201</v>
      </c>
      <c r="G316" s="41" t="s">
        <v>233</v>
      </c>
      <c r="H316" s="41" t="s">
        <v>482</v>
      </c>
      <c r="I316" s="46" t="s">
        <v>224</v>
      </c>
      <c r="J316" s="46" t="str">
        <f>VLOOKUP(I316,'DESCRICAO PRODUTO'!$A:$C,2,0)</f>
        <v>MICRO-ONDAS MO-02-34-B 220V/60HZ .</v>
      </c>
      <c r="K316" s="41" t="str">
        <f>VLOOKUP(I316,'DESCRICAO PRODUTO'!$A:$C,3,0)</f>
        <v>MO 34L</v>
      </c>
      <c r="L316" s="38">
        <v>19</v>
      </c>
      <c r="M316" s="58">
        <v>19</v>
      </c>
      <c r="N316" s="51">
        <f t="shared" si="4"/>
        <v>0</v>
      </c>
      <c r="O316" s="40">
        <v>46241</v>
      </c>
      <c r="P316" s="40">
        <v>46245</v>
      </c>
      <c r="Q316" s="34" t="s">
        <v>455</v>
      </c>
      <c r="R316" s="8" t="s">
        <v>515</v>
      </c>
      <c r="S316" s="18">
        <v>31173</v>
      </c>
      <c r="T316" s="18" t="s">
        <v>519</v>
      </c>
      <c r="U316" s="33">
        <v>46260</v>
      </c>
    </row>
    <row r="317" spans="1:21" ht="15">
      <c r="A317" s="39">
        <v>9</v>
      </c>
      <c r="B317" s="40">
        <v>46161</v>
      </c>
      <c r="C317" s="40" t="s">
        <v>240</v>
      </c>
      <c r="D317" s="40" t="s">
        <v>7</v>
      </c>
      <c r="E317" s="49" t="s">
        <v>511</v>
      </c>
      <c r="F317" s="41" t="s">
        <v>201</v>
      </c>
      <c r="G317" s="41" t="s">
        <v>233</v>
      </c>
      <c r="H317" s="41" t="s">
        <v>482</v>
      </c>
      <c r="I317" s="46" t="s">
        <v>224</v>
      </c>
      <c r="J317" s="46" t="str">
        <f>VLOOKUP(I317,'DESCRICAO PRODUTO'!$A:$C,2,0)</f>
        <v>MICRO-ONDAS MO-02-34-B 220V/60HZ .</v>
      </c>
      <c r="K317" s="41" t="str">
        <f>VLOOKUP(I317,'DESCRICAO PRODUTO'!$A:$C,3,0)</f>
        <v>MO 34L</v>
      </c>
      <c r="L317" s="38">
        <v>184</v>
      </c>
      <c r="M317" s="58">
        <v>184</v>
      </c>
      <c r="N317" s="51">
        <f t="shared" si="4"/>
        <v>0</v>
      </c>
      <c r="O317" s="40">
        <v>46241</v>
      </c>
      <c r="P317" s="40">
        <v>46245</v>
      </c>
      <c r="Q317" s="34" t="s">
        <v>455</v>
      </c>
      <c r="R317" s="8" t="s">
        <v>515</v>
      </c>
      <c r="S317" s="18">
        <v>31173</v>
      </c>
      <c r="T317" s="18" t="s">
        <v>519</v>
      </c>
      <c r="U317" s="33">
        <v>46260</v>
      </c>
    </row>
    <row r="318" spans="1:21" ht="15">
      <c r="A318" s="39">
        <v>9</v>
      </c>
      <c r="B318" s="40">
        <v>46161</v>
      </c>
      <c r="C318" s="40" t="s">
        <v>240</v>
      </c>
      <c r="D318" s="40" t="s">
        <v>7</v>
      </c>
      <c r="E318" s="49" t="s">
        <v>510</v>
      </c>
      <c r="F318" s="41" t="s">
        <v>198</v>
      </c>
      <c r="G318" s="41" t="s">
        <v>233</v>
      </c>
      <c r="H318" s="41" t="s">
        <v>482</v>
      </c>
      <c r="I318" s="46" t="s">
        <v>78</v>
      </c>
      <c r="J318" s="46" t="str">
        <f>VLOOKUP(I318,'DESCRICAO PRODUTO'!$A:$C,2,0)</f>
        <v>MICRO-ONDAS MO-02-34-W 220V/60HZ .</v>
      </c>
      <c r="K318" s="41" t="str">
        <f>VLOOKUP(I318,'DESCRICAO PRODUTO'!$A:$C,3,0)</f>
        <v>MO 34L</v>
      </c>
      <c r="L318" s="38">
        <v>81</v>
      </c>
      <c r="M318" s="58">
        <v>81</v>
      </c>
      <c r="N318" s="51">
        <f t="shared" si="4"/>
        <v>0</v>
      </c>
      <c r="O318" s="40">
        <v>46240</v>
      </c>
      <c r="P318" s="40">
        <v>46245</v>
      </c>
      <c r="Q318" s="34" t="s">
        <v>455</v>
      </c>
      <c r="R318" s="8" t="s">
        <v>515</v>
      </c>
      <c r="S318" s="18">
        <v>31173</v>
      </c>
      <c r="T318" s="18" t="s">
        <v>519</v>
      </c>
      <c r="U318" s="33">
        <v>46260</v>
      </c>
    </row>
    <row r="319" spans="1:21" ht="15">
      <c r="A319" s="39">
        <v>9</v>
      </c>
      <c r="B319" s="40">
        <v>46161</v>
      </c>
      <c r="C319" s="40" t="s">
        <v>240</v>
      </c>
      <c r="D319" s="40" t="s">
        <v>7</v>
      </c>
      <c r="E319" s="49" t="s">
        <v>510</v>
      </c>
      <c r="F319" s="41" t="s">
        <v>198</v>
      </c>
      <c r="G319" s="41" t="s">
        <v>233</v>
      </c>
      <c r="H319" s="41" t="s">
        <v>482</v>
      </c>
      <c r="I319" s="46" t="s">
        <v>21</v>
      </c>
      <c r="J319" s="46" t="str">
        <f>VLOOKUP(I319,'DESCRICAO PRODUTO'!$A:$C,2,0)</f>
        <v>MICRO-ONDAS MO-02-34-E 127V/60HZ .</v>
      </c>
      <c r="K319" s="41" t="str">
        <f>VLOOKUP(I319,'DESCRICAO PRODUTO'!$A:$C,3,0)</f>
        <v>MO 34L</v>
      </c>
      <c r="L319" s="38">
        <v>48</v>
      </c>
      <c r="M319" s="58">
        <v>48</v>
      </c>
      <c r="N319" s="51">
        <f t="shared" si="4"/>
        <v>0</v>
      </c>
      <c r="O319" s="40">
        <v>46240</v>
      </c>
      <c r="P319" s="40">
        <v>46245</v>
      </c>
      <c r="Q319" s="34" t="s">
        <v>455</v>
      </c>
      <c r="R319" s="8" t="s">
        <v>513</v>
      </c>
      <c r="S319" s="18">
        <v>31170</v>
      </c>
      <c r="T319" s="18" t="s">
        <v>516</v>
      </c>
      <c r="U319" s="33">
        <v>46260</v>
      </c>
    </row>
    <row r="320" spans="1:21" ht="15">
      <c r="A320" s="39">
        <v>9</v>
      </c>
      <c r="B320" s="40">
        <v>46161</v>
      </c>
      <c r="C320" s="40" t="s">
        <v>240</v>
      </c>
      <c r="D320" s="40" t="s">
        <v>7</v>
      </c>
      <c r="E320" s="49" t="s">
        <v>510</v>
      </c>
      <c r="F320" s="41" t="s">
        <v>198</v>
      </c>
      <c r="G320" s="41" t="s">
        <v>233</v>
      </c>
      <c r="H320" s="41" t="s">
        <v>482</v>
      </c>
      <c r="I320" s="46" t="s">
        <v>79</v>
      </c>
      <c r="J320" s="46" t="str">
        <f>VLOOKUP(I320,'DESCRICAO PRODUTO'!$A:$C,2,0)</f>
        <v>MICRO-ONDAS MO-02-34-E 220V/60HZ .</v>
      </c>
      <c r="K320" s="41" t="str">
        <f>VLOOKUP(I320,'DESCRICAO PRODUTO'!$A:$C,3,0)</f>
        <v>MO 34L</v>
      </c>
      <c r="L320" s="38">
        <v>16</v>
      </c>
      <c r="M320" s="58">
        <v>16</v>
      </c>
      <c r="N320" s="51">
        <f t="shared" si="4"/>
        <v>0</v>
      </c>
      <c r="O320" s="40">
        <v>46240</v>
      </c>
      <c r="P320" s="40">
        <v>46245</v>
      </c>
      <c r="Q320" s="34" t="s">
        <v>455</v>
      </c>
      <c r="R320" s="8" t="s">
        <v>513</v>
      </c>
      <c r="S320" s="18">
        <v>31170</v>
      </c>
      <c r="T320" s="18" t="s">
        <v>516</v>
      </c>
      <c r="U320" s="33">
        <v>46260</v>
      </c>
    </row>
    <row r="321" spans="1:21" ht="15">
      <c r="A321" s="39">
        <v>9</v>
      </c>
      <c r="B321" s="40">
        <v>46161</v>
      </c>
      <c r="C321" s="40" t="s">
        <v>240</v>
      </c>
      <c r="D321" s="40" t="s">
        <v>7</v>
      </c>
      <c r="E321" s="49" t="s">
        <v>510</v>
      </c>
      <c r="F321" s="41" t="s">
        <v>198</v>
      </c>
      <c r="G321" s="41" t="s">
        <v>233</v>
      </c>
      <c r="H321" s="41" t="s">
        <v>482</v>
      </c>
      <c r="I321" s="46" t="s">
        <v>80</v>
      </c>
      <c r="J321" s="46" t="str">
        <f>VLOOKUP(I321,'DESCRICAO PRODUTO'!$A:$C,2,0)</f>
        <v>MICRO-ONDAS MO-02-34-E 127V/60HZ .</v>
      </c>
      <c r="K321" s="41" t="str">
        <f>VLOOKUP(I321,'DESCRICAO PRODUTO'!$A:$C,3,0)</f>
        <v>MO 34L</v>
      </c>
      <c r="L321" s="38">
        <v>65</v>
      </c>
      <c r="M321" s="58">
        <v>65</v>
      </c>
      <c r="N321" s="51">
        <f t="shared" si="4"/>
        <v>0</v>
      </c>
      <c r="O321" s="40">
        <v>46240</v>
      </c>
      <c r="P321" s="40">
        <v>46245</v>
      </c>
      <c r="Q321" s="34" t="s">
        <v>455</v>
      </c>
      <c r="R321" s="8" t="s">
        <v>513</v>
      </c>
      <c r="S321" s="18">
        <v>31170</v>
      </c>
      <c r="T321" s="18" t="s">
        <v>516</v>
      </c>
      <c r="U321" s="33">
        <v>46260</v>
      </c>
    </row>
    <row r="322" spans="1:21" ht="15">
      <c r="A322" s="39">
        <v>9</v>
      </c>
      <c r="B322" s="40">
        <v>46161</v>
      </c>
      <c r="C322" s="40" t="s">
        <v>240</v>
      </c>
      <c r="D322" s="40" t="s">
        <v>7</v>
      </c>
      <c r="E322" s="49" t="s">
        <v>510</v>
      </c>
      <c r="F322" s="41" t="s">
        <v>198</v>
      </c>
      <c r="G322" s="41" t="s">
        <v>233</v>
      </c>
      <c r="H322" s="41" t="s">
        <v>482</v>
      </c>
      <c r="I322" s="46" t="s">
        <v>81</v>
      </c>
      <c r="J322" s="46" t="str">
        <f>VLOOKUP(I322,'DESCRICAO PRODUTO'!$A:$C,2,0)</f>
        <v>MICRO-ONDAS MO-02-34-E 220V/60HZ .</v>
      </c>
      <c r="K322" s="41" t="str">
        <f>VLOOKUP(I322,'DESCRICAO PRODUTO'!$A:$C,3,0)</f>
        <v>MO 34L</v>
      </c>
      <c r="L322" s="38">
        <v>105</v>
      </c>
      <c r="M322" s="58">
        <v>105</v>
      </c>
      <c r="N322" s="51">
        <f t="shared" ref="N322:N385" si="5">M322-L322</f>
        <v>0</v>
      </c>
      <c r="O322" s="40">
        <v>46240</v>
      </c>
      <c r="P322" s="40">
        <v>46245</v>
      </c>
      <c r="Q322" s="34" t="s">
        <v>455</v>
      </c>
      <c r="R322" s="8" t="s">
        <v>515</v>
      </c>
      <c r="S322" s="18">
        <v>31173</v>
      </c>
      <c r="T322" s="18" t="s">
        <v>519</v>
      </c>
      <c r="U322" s="33">
        <v>46260</v>
      </c>
    </row>
    <row r="323" spans="1:21" ht="15">
      <c r="A323" s="39">
        <v>9</v>
      </c>
      <c r="B323" s="40">
        <v>46161</v>
      </c>
      <c r="C323" s="40" t="s">
        <v>240</v>
      </c>
      <c r="D323" s="40" t="s">
        <v>7</v>
      </c>
      <c r="E323" s="49" t="s">
        <v>510</v>
      </c>
      <c r="F323" s="41" t="s">
        <v>198</v>
      </c>
      <c r="G323" s="41" t="s">
        <v>233</v>
      </c>
      <c r="H323" s="41" t="s">
        <v>482</v>
      </c>
      <c r="I323" s="46" t="s">
        <v>81</v>
      </c>
      <c r="J323" s="46" t="str">
        <f>VLOOKUP(I323,'DESCRICAO PRODUTO'!$A:$C,2,0)</f>
        <v>MICRO-ONDAS MO-02-34-E 220V/60HZ .</v>
      </c>
      <c r="K323" s="41" t="str">
        <f>VLOOKUP(I323,'DESCRICAO PRODUTO'!$A:$C,3,0)</f>
        <v>MO 34L</v>
      </c>
      <c r="L323" s="38">
        <v>157</v>
      </c>
      <c r="M323" s="58">
        <v>157</v>
      </c>
      <c r="N323" s="51">
        <f t="shared" si="5"/>
        <v>0</v>
      </c>
      <c r="O323" s="40">
        <v>46240</v>
      </c>
      <c r="P323" s="40">
        <v>46245</v>
      </c>
      <c r="Q323" s="34" t="s">
        <v>455</v>
      </c>
      <c r="R323" s="8" t="s">
        <v>515</v>
      </c>
      <c r="S323" s="18">
        <v>31173</v>
      </c>
      <c r="T323" s="18" t="s">
        <v>519</v>
      </c>
      <c r="U323" s="33">
        <v>46260</v>
      </c>
    </row>
    <row r="324" spans="1:21" ht="15">
      <c r="A324" s="39">
        <v>9</v>
      </c>
      <c r="B324" s="40">
        <v>46161</v>
      </c>
      <c r="C324" s="40" t="s">
        <v>240</v>
      </c>
      <c r="D324" s="40" t="s">
        <v>7</v>
      </c>
      <c r="E324" s="49" t="s">
        <v>144</v>
      </c>
      <c r="F324" s="41" t="s">
        <v>238</v>
      </c>
      <c r="G324" s="41" t="s">
        <v>233</v>
      </c>
      <c r="H324" s="41" t="s">
        <v>482</v>
      </c>
      <c r="I324" s="46" t="s">
        <v>82</v>
      </c>
      <c r="J324" s="46" t="str">
        <f>VLOOKUP(I324,'DESCRICAO PRODUTO'!$A:$C,2,0)</f>
        <v>MICRO-ONDAS MO-01-21-E 127V/60HZ</v>
      </c>
      <c r="K324" s="41" t="str">
        <f>VLOOKUP(I324,'DESCRICAO PRODUTO'!$A:$C,3,0)</f>
        <v>MO 21L</v>
      </c>
      <c r="L324" s="38">
        <v>364</v>
      </c>
      <c r="M324" s="58"/>
      <c r="N324" s="51">
        <f t="shared" si="5"/>
        <v>-364</v>
      </c>
      <c r="O324" s="40">
        <v>46265</v>
      </c>
      <c r="P324" s="40">
        <v>46265</v>
      </c>
      <c r="Q324" s="34" t="s">
        <v>505</v>
      </c>
      <c r="R324" s="18" t="s">
        <v>552</v>
      </c>
      <c r="S324" s="18"/>
      <c r="T324" s="18"/>
      <c r="U324" s="33"/>
    </row>
    <row r="325" spans="1:21" ht="15">
      <c r="A325" s="39">
        <v>9</v>
      </c>
      <c r="B325" s="40">
        <v>46161</v>
      </c>
      <c r="C325" s="40" t="s">
        <v>240</v>
      </c>
      <c r="D325" s="40" t="s">
        <v>7</v>
      </c>
      <c r="E325" s="49" t="s">
        <v>143</v>
      </c>
      <c r="F325" s="41" t="s">
        <v>237</v>
      </c>
      <c r="G325" s="41" t="s">
        <v>233</v>
      </c>
      <c r="H325" s="41" t="s">
        <v>482</v>
      </c>
      <c r="I325" s="46" t="s">
        <v>222</v>
      </c>
      <c r="J325" s="46" t="str">
        <f>VLOOKUP(I325,'DESCRICAO PRODUTO'!$A:$C,2,0)</f>
        <v>MICRO-ONDAS MO-01-21-E 220V/60HZ</v>
      </c>
      <c r="K325" s="41" t="str">
        <f>VLOOKUP(I325,'DESCRICAO PRODUTO'!$A:$C,3,0)</f>
        <v>MO 21L</v>
      </c>
      <c r="L325" s="38">
        <v>1</v>
      </c>
      <c r="M325" s="58"/>
      <c r="N325" s="51">
        <f t="shared" si="5"/>
        <v>-1</v>
      </c>
      <c r="O325" s="40">
        <v>46265</v>
      </c>
      <c r="P325" s="40">
        <v>46265</v>
      </c>
      <c r="Q325" s="34" t="s">
        <v>505</v>
      </c>
      <c r="R325" s="18" t="s">
        <v>552</v>
      </c>
      <c r="S325" s="18"/>
      <c r="T325" s="18"/>
      <c r="U325" s="33"/>
    </row>
    <row r="326" spans="1:21" ht="15">
      <c r="A326" s="39">
        <v>9</v>
      </c>
      <c r="B326" s="40">
        <v>46161</v>
      </c>
      <c r="C326" s="40" t="s">
        <v>240</v>
      </c>
      <c r="D326" s="40" t="s">
        <v>7</v>
      </c>
      <c r="E326" s="49" t="s">
        <v>510</v>
      </c>
      <c r="F326" s="41" t="s">
        <v>198</v>
      </c>
      <c r="G326" s="41" t="s">
        <v>233</v>
      </c>
      <c r="H326" s="41" t="s">
        <v>482</v>
      </c>
      <c r="I326" s="46" t="s">
        <v>84</v>
      </c>
      <c r="J326" s="46" t="str">
        <f>VLOOKUP(I326,'DESCRICAO PRODUTO'!$A:$C,2,0)</f>
        <v>MICRO-ONDAS MO-02-34-B 127V/60HZ .</v>
      </c>
      <c r="K326" s="41" t="str">
        <f>VLOOKUP(I326,'DESCRICAO PRODUTO'!$A:$C,3,0)</f>
        <v>MO 34L</v>
      </c>
      <c r="L326" s="38">
        <v>5</v>
      </c>
      <c r="M326" s="58">
        <v>5</v>
      </c>
      <c r="N326" s="51">
        <f t="shared" si="5"/>
        <v>0</v>
      </c>
      <c r="O326" s="40">
        <v>46240</v>
      </c>
      <c r="P326" s="40">
        <v>46245</v>
      </c>
      <c r="Q326" s="34" t="s">
        <v>455</v>
      </c>
      <c r="R326" s="8" t="s">
        <v>515</v>
      </c>
      <c r="S326" s="18">
        <v>31173</v>
      </c>
      <c r="T326" s="18" t="s">
        <v>519</v>
      </c>
      <c r="U326" s="33">
        <v>46260</v>
      </c>
    </row>
    <row r="327" spans="1:21" ht="15">
      <c r="A327" s="39">
        <v>9</v>
      </c>
      <c r="B327" s="40">
        <v>46161</v>
      </c>
      <c r="C327" s="40" t="s">
        <v>240</v>
      </c>
      <c r="D327" s="40" t="s">
        <v>7</v>
      </c>
      <c r="E327" s="49" t="s">
        <v>510</v>
      </c>
      <c r="F327" s="41" t="s">
        <v>198</v>
      </c>
      <c r="G327" s="41" t="s">
        <v>233</v>
      </c>
      <c r="H327" s="41" t="s">
        <v>482</v>
      </c>
      <c r="I327" s="46" t="s">
        <v>224</v>
      </c>
      <c r="J327" s="46" t="str">
        <f>VLOOKUP(I327,'DESCRICAO PRODUTO'!$A:$C,2,0)</f>
        <v>MICRO-ONDAS MO-02-34-B 220V/60HZ .</v>
      </c>
      <c r="K327" s="41" t="str">
        <f>VLOOKUP(I327,'DESCRICAO PRODUTO'!$A:$C,3,0)</f>
        <v>MO 34L</v>
      </c>
      <c r="L327" s="38">
        <v>19</v>
      </c>
      <c r="M327" s="58">
        <v>19</v>
      </c>
      <c r="N327" s="51">
        <f t="shared" si="5"/>
        <v>0</v>
      </c>
      <c r="O327" s="40">
        <v>46240</v>
      </c>
      <c r="P327" s="40">
        <v>46245</v>
      </c>
      <c r="Q327" s="34" t="s">
        <v>455</v>
      </c>
      <c r="R327" s="8" t="s">
        <v>515</v>
      </c>
      <c r="S327" s="18">
        <v>31173</v>
      </c>
      <c r="T327" s="18" t="s">
        <v>519</v>
      </c>
      <c r="U327" s="33">
        <v>46260</v>
      </c>
    </row>
    <row r="328" spans="1:21" ht="15">
      <c r="A328" s="39">
        <v>9</v>
      </c>
      <c r="B328" s="40">
        <v>46161</v>
      </c>
      <c r="C328" s="40" t="s">
        <v>240</v>
      </c>
      <c r="D328" s="40" t="s">
        <v>7</v>
      </c>
      <c r="E328" s="49" t="s">
        <v>510</v>
      </c>
      <c r="F328" s="41" t="s">
        <v>198</v>
      </c>
      <c r="G328" s="41" t="s">
        <v>233</v>
      </c>
      <c r="H328" s="41" t="s">
        <v>482</v>
      </c>
      <c r="I328" s="46" t="s">
        <v>224</v>
      </c>
      <c r="J328" s="46" t="str">
        <f>VLOOKUP(I328,'DESCRICAO PRODUTO'!$A:$C,2,0)</f>
        <v>MICRO-ONDAS MO-02-34-B 220V/60HZ .</v>
      </c>
      <c r="K328" s="41" t="str">
        <f>VLOOKUP(I328,'DESCRICAO PRODUTO'!$A:$C,3,0)</f>
        <v>MO 34L</v>
      </c>
      <c r="L328" s="38">
        <v>184</v>
      </c>
      <c r="M328" s="58">
        <v>184</v>
      </c>
      <c r="N328" s="51">
        <f t="shared" si="5"/>
        <v>0</v>
      </c>
      <c r="O328" s="40">
        <v>46240</v>
      </c>
      <c r="P328" s="40">
        <v>46245</v>
      </c>
      <c r="Q328" s="34" t="s">
        <v>455</v>
      </c>
      <c r="R328" s="8" t="s">
        <v>515</v>
      </c>
      <c r="S328" s="18">
        <v>31173</v>
      </c>
      <c r="T328" s="18" t="s">
        <v>519</v>
      </c>
      <c r="U328" s="33">
        <v>46260</v>
      </c>
    </row>
    <row r="329" spans="1:21" ht="29.25">
      <c r="A329" s="39">
        <v>9</v>
      </c>
      <c r="B329" s="40">
        <v>46161</v>
      </c>
      <c r="C329" s="40" t="s">
        <v>240</v>
      </c>
      <c r="D329" s="40" t="s">
        <v>7</v>
      </c>
      <c r="E329" s="49" t="s">
        <v>239</v>
      </c>
      <c r="F329" s="41" t="s">
        <v>154</v>
      </c>
      <c r="G329" s="41" t="s">
        <v>233</v>
      </c>
      <c r="H329" s="41" t="s">
        <v>481</v>
      </c>
      <c r="I329" s="46" t="s">
        <v>78</v>
      </c>
      <c r="J329" s="46" t="str">
        <f>VLOOKUP(I329,'DESCRICAO PRODUTO'!$A:$C,2,0)</f>
        <v>MICRO-ONDAS MO-02-34-W 220V/60HZ .</v>
      </c>
      <c r="K329" s="41" t="str">
        <f>VLOOKUP(I329,'DESCRICAO PRODUTO'!$A:$C,3,0)</f>
        <v>MO 34L</v>
      </c>
      <c r="L329" s="38">
        <v>81</v>
      </c>
      <c r="M329" s="58"/>
      <c r="N329" s="51">
        <f t="shared" si="5"/>
        <v>-81</v>
      </c>
      <c r="O329" s="40">
        <v>46233</v>
      </c>
      <c r="P329" s="40">
        <v>46258</v>
      </c>
      <c r="Q329" s="34" t="s">
        <v>505</v>
      </c>
      <c r="R329" s="8" t="s">
        <v>537</v>
      </c>
      <c r="S329" s="18"/>
      <c r="T329" s="18"/>
      <c r="U329" s="33"/>
    </row>
    <row r="330" spans="1:21" ht="15">
      <c r="A330" s="39">
        <v>9</v>
      </c>
      <c r="B330" s="40">
        <v>46161</v>
      </c>
      <c r="C330" s="40" t="s">
        <v>240</v>
      </c>
      <c r="D330" s="40" t="s">
        <v>7</v>
      </c>
      <c r="E330" s="49" t="s">
        <v>149</v>
      </c>
      <c r="F330" s="41" t="s">
        <v>150</v>
      </c>
      <c r="G330" s="41" t="s">
        <v>233</v>
      </c>
      <c r="H330" s="41" t="s">
        <v>481</v>
      </c>
      <c r="I330" s="46" t="s">
        <v>21</v>
      </c>
      <c r="J330" s="46" t="str">
        <f>VLOOKUP(I330,'DESCRICAO PRODUTO'!$A:$C,2,0)</f>
        <v>MICRO-ONDAS MO-02-34-E 127V/60HZ .</v>
      </c>
      <c r="K330" s="41" t="str">
        <f>VLOOKUP(I330,'DESCRICAO PRODUTO'!$A:$C,3,0)</f>
        <v>MO 34L</v>
      </c>
      <c r="L330" s="38">
        <v>48</v>
      </c>
      <c r="M330" s="58"/>
      <c r="N330" s="51">
        <f t="shared" si="5"/>
        <v>-48</v>
      </c>
      <c r="O330" s="40"/>
      <c r="P330" s="40"/>
      <c r="Q330" s="34" t="s">
        <v>4</v>
      </c>
      <c r="R330" s="18" t="s">
        <v>557</v>
      </c>
      <c r="S330" s="18"/>
      <c r="T330" s="18"/>
      <c r="U330" s="33"/>
    </row>
    <row r="331" spans="1:21" ht="15">
      <c r="A331" s="39">
        <v>9</v>
      </c>
      <c r="B331" s="40">
        <v>46161</v>
      </c>
      <c r="C331" s="40" t="s">
        <v>240</v>
      </c>
      <c r="D331" s="40" t="s">
        <v>7</v>
      </c>
      <c r="E331" s="49" t="s">
        <v>149</v>
      </c>
      <c r="F331" s="41" t="s">
        <v>150</v>
      </c>
      <c r="G331" s="41" t="s">
        <v>233</v>
      </c>
      <c r="H331" s="41" t="s">
        <v>481</v>
      </c>
      <c r="I331" s="46" t="s">
        <v>79</v>
      </c>
      <c r="J331" s="46" t="str">
        <f>VLOOKUP(I331,'DESCRICAO PRODUTO'!$A:$C,2,0)</f>
        <v>MICRO-ONDAS MO-02-34-E 220V/60HZ .</v>
      </c>
      <c r="K331" s="41" t="str">
        <f>VLOOKUP(I331,'DESCRICAO PRODUTO'!$A:$C,3,0)</f>
        <v>MO 34L</v>
      </c>
      <c r="L331" s="38">
        <v>16</v>
      </c>
      <c r="M331" s="58"/>
      <c r="N331" s="51">
        <f t="shared" si="5"/>
        <v>-16</v>
      </c>
      <c r="O331" s="40"/>
      <c r="P331" s="40"/>
      <c r="Q331" s="34" t="s">
        <v>4</v>
      </c>
      <c r="R331" s="18" t="s">
        <v>557</v>
      </c>
      <c r="S331" s="18"/>
      <c r="T331" s="18"/>
      <c r="U331" s="33"/>
    </row>
    <row r="332" spans="1:21" ht="15">
      <c r="A332" s="39">
        <v>9</v>
      </c>
      <c r="B332" s="40">
        <v>46161</v>
      </c>
      <c r="C332" s="40" t="s">
        <v>240</v>
      </c>
      <c r="D332" s="40" t="s">
        <v>7</v>
      </c>
      <c r="E332" s="49" t="s">
        <v>151</v>
      </c>
      <c r="F332" s="41" t="s">
        <v>148</v>
      </c>
      <c r="G332" s="41" t="s">
        <v>233</v>
      </c>
      <c r="H332" s="41" t="s">
        <v>481</v>
      </c>
      <c r="I332" s="46" t="s">
        <v>80</v>
      </c>
      <c r="J332" s="46" t="str">
        <f>VLOOKUP(I332,'DESCRICAO PRODUTO'!$A:$C,2,0)</f>
        <v>MICRO-ONDAS MO-02-34-E 127V/60HZ .</v>
      </c>
      <c r="K332" s="41" t="str">
        <f>VLOOKUP(I332,'DESCRICAO PRODUTO'!$A:$C,3,0)</f>
        <v>MO 34L</v>
      </c>
      <c r="L332" s="38">
        <v>65</v>
      </c>
      <c r="M332" s="58">
        <v>65</v>
      </c>
      <c r="N332" s="51">
        <f t="shared" si="5"/>
        <v>0</v>
      </c>
      <c r="O332" s="40">
        <v>46233</v>
      </c>
      <c r="P332" s="40">
        <v>46247</v>
      </c>
      <c r="Q332" s="34" t="s">
        <v>455</v>
      </c>
      <c r="R332" s="8" t="s">
        <v>532</v>
      </c>
      <c r="S332" s="18">
        <v>31205</v>
      </c>
      <c r="T332" s="18" t="s">
        <v>531</v>
      </c>
      <c r="U332" s="33">
        <v>46262</v>
      </c>
    </row>
    <row r="333" spans="1:21" ht="15">
      <c r="A333" s="39">
        <v>9</v>
      </c>
      <c r="B333" s="40">
        <v>46161</v>
      </c>
      <c r="C333" s="40" t="s">
        <v>240</v>
      </c>
      <c r="D333" s="40" t="s">
        <v>7</v>
      </c>
      <c r="E333" s="49" t="s">
        <v>151</v>
      </c>
      <c r="F333" s="41" t="s">
        <v>148</v>
      </c>
      <c r="G333" s="41" t="s">
        <v>233</v>
      </c>
      <c r="H333" s="41" t="s">
        <v>481</v>
      </c>
      <c r="I333" s="46" t="s">
        <v>81</v>
      </c>
      <c r="J333" s="46" t="str">
        <f>VLOOKUP(I333,'DESCRICAO PRODUTO'!$A:$C,2,0)</f>
        <v>MICRO-ONDAS MO-02-34-E 220V/60HZ .</v>
      </c>
      <c r="K333" s="41" t="str">
        <f>VLOOKUP(I333,'DESCRICAO PRODUTO'!$A:$C,3,0)</f>
        <v>MO 34L</v>
      </c>
      <c r="L333" s="38">
        <v>105</v>
      </c>
      <c r="M333" s="58">
        <v>105</v>
      </c>
      <c r="N333" s="51">
        <f t="shared" si="5"/>
        <v>0</v>
      </c>
      <c r="O333" s="40">
        <v>46233</v>
      </c>
      <c r="P333" s="40">
        <v>46247</v>
      </c>
      <c r="Q333" s="34" t="s">
        <v>455</v>
      </c>
      <c r="R333" s="8" t="s">
        <v>532</v>
      </c>
      <c r="S333" s="18">
        <v>31205</v>
      </c>
      <c r="T333" s="18" t="s">
        <v>531</v>
      </c>
      <c r="U333" s="33">
        <v>46262</v>
      </c>
    </row>
    <row r="334" spans="1:21" ht="15.95" customHeight="1">
      <c r="A334" s="39">
        <v>9</v>
      </c>
      <c r="B334" s="40">
        <v>46161</v>
      </c>
      <c r="C334" s="40" t="s">
        <v>240</v>
      </c>
      <c r="D334" s="40" t="s">
        <v>7</v>
      </c>
      <c r="E334" s="49" t="s">
        <v>151</v>
      </c>
      <c r="F334" s="41" t="s">
        <v>148</v>
      </c>
      <c r="G334" s="41" t="s">
        <v>233</v>
      </c>
      <c r="H334" s="41" t="s">
        <v>481</v>
      </c>
      <c r="I334" s="46" t="s">
        <v>81</v>
      </c>
      <c r="J334" s="46" t="str">
        <f>VLOOKUP(I334,'DESCRICAO PRODUTO'!$A:$C,2,0)</f>
        <v>MICRO-ONDAS MO-02-34-E 220V/60HZ .</v>
      </c>
      <c r="K334" s="41" t="str">
        <f>VLOOKUP(I334,'DESCRICAO PRODUTO'!$A:$C,3,0)</f>
        <v>MO 34L</v>
      </c>
      <c r="L334" s="38">
        <v>157</v>
      </c>
      <c r="M334" s="58">
        <v>157</v>
      </c>
      <c r="N334" s="51">
        <f t="shared" si="5"/>
        <v>0</v>
      </c>
      <c r="O334" s="40">
        <v>46233</v>
      </c>
      <c r="P334" s="40">
        <v>46247</v>
      </c>
      <c r="Q334" s="34" t="s">
        <v>455</v>
      </c>
      <c r="R334" s="8" t="s">
        <v>532</v>
      </c>
      <c r="S334" s="18">
        <v>31205</v>
      </c>
      <c r="T334" s="18" t="s">
        <v>531</v>
      </c>
      <c r="U334" s="33">
        <v>46262</v>
      </c>
    </row>
    <row r="335" spans="1:21" ht="15.95" customHeight="1">
      <c r="A335" s="39">
        <v>9</v>
      </c>
      <c r="B335" s="40">
        <v>46161</v>
      </c>
      <c r="C335" s="40" t="s">
        <v>240</v>
      </c>
      <c r="D335" s="40" t="s">
        <v>7</v>
      </c>
      <c r="E335" s="49" t="s">
        <v>156</v>
      </c>
      <c r="F335" s="41" t="s">
        <v>191</v>
      </c>
      <c r="G335" s="41" t="s">
        <v>233</v>
      </c>
      <c r="H335" s="41" t="s">
        <v>481</v>
      </c>
      <c r="I335" s="46" t="s">
        <v>82</v>
      </c>
      <c r="J335" s="46" t="str">
        <f>VLOOKUP(I335,'DESCRICAO PRODUTO'!$A:$C,2,0)</f>
        <v>MICRO-ONDAS MO-01-21-E 127V/60HZ</v>
      </c>
      <c r="K335" s="41" t="str">
        <f>VLOOKUP(I335,'DESCRICAO PRODUTO'!$A:$C,3,0)</f>
        <v>MO 21L</v>
      </c>
      <c r="L335" s="38">
        <v>364</v>
      </c>
      <c r="M335" s="58"/>
      <c r="N335" s="51">
        <f t="shared" si="5"/>
        <v>-364</v>
      </c>
      <c r="O335" s="40">
        <v>46233</v>
      </c>
      <c r="P335" s="40">
        <v>46258</v>
      </c>
      <c r="Q335" s="34" t="s">
        <v>505</v>
      </c>
      <c r="R335" s="8" t="s">
        <v>537</v>
      </c>
      <c r="S335" s="18"/>
      <c r="T335" s="18"/>
      <c r="U335" s="33"/>
    </row>
    <row r="336" spans="1:21" ht="15.95" customHeight="1">
      <c r="A336" s="39">
        <v>9</v>
      </c>
      <c r="B336" s="40">
        <v>46161</v>
      </c>
      <c r="C336" s="40" t="s">
        <v>240</v>
      </c>
      <c r="D336" s="40" t="s">
        <v>7</v>
      </c>
      <c r="E336" s="49" t="s">
        <v>156</v>
      </c>
      <c r="F336" s="41" t="s">
        <v>191</v>
      </c>
      <c r="G336" s="41" t="s">
        <v>233</v>
      </c>
      <c r="H336" s="41" t="s">
        <v>481</v>
      </c>
      <c r="I336" s="46" t="s">
        <v>222</v>
      </c>
      <c r="J336" s="46" t="str">
        <f>VLOOKUP(I336,'DESCRICAO PRODUTO'!$A:$C,2,0)</f>
        <v>MICRO-ONDAS MO-01-21-E 220V/60HZ</v>
      </c>
      <c r="K336" s="41" t="str">
        <f>VLOOKUP(I336,'DESCRICAO PRODUTO'!$A:$C,3,0)</f>
        <v>MO 21L</v>
      </c>
      <c r="L336" s="38">
        <v>1</v>
      </c>
      <c r="M336" s="58"/>
      <c r="N336" s="51">
        <f t="shared" si="5"/>
        <v>-1</v>
      </c>
      <c r="O336" s="40">
        <v>46233</v>
      </c>
      <c r="P336" s="40">
        <v>46258</v>
      </c>
      <c r="Q336" s="34" t="s">
        <v>505</v>
      </c>
      <c r="R336" s="8" t="s">
        <v>537</v>
      </c>
      <c r="S336" s="18"/>
      <c r="T336" s="18"/>
      <c r="U336" s="33"/>
    </row>
    <row r="337" spans="1:21" ht="15.95" customHeight="1">
      <c r="A337" s="39">
        <v>9</v>
      </c>
      <c r="B337" s="40">
        <v>46161</v>
      </c>
      <c r="C337" s="40" t="s">
        <v>240</v>
      </c>
      <c r="D337" s="40" t="s">
        <v>7</v>
      </c>
      <c r="E337" s="49" t="s">
        <v>147</v>
      </c>
      <c r="F337" s="41" t="s">
        <v>148</v>
      </c>
      <c r="G337" s="41" t="s">
        <v>233</v>
      </c>
      <c r="H337" s="41" t="s">
        <v>481</v>
      </c>
      <c r="I337" s="46" t="s">
        <v>84</v>
      </c>
      <c r="J337" s="46" t="str">
        <f>VLOOKUP(I337,'DESCRICAO PRODUTO'!$A:$C,2,0)</f>
        <v>MICRO-ONDAS MO-02-34-B 127V/60HZ .</v>
      </c>
      <c r="K337" s="41" t="str">
        <f>VLOOKUP(I337,'DESCRICAO PRODUTO'!$A:$C,3,0)</f>
        <v>MO 34L</v>
      </c>
      <c r="L337" s="38">
        <v>5</v>
      </c>
      <c r="M337" s="58"/>
      <c r="N337" s="51">
        <f t="shared" si="5"/>
        <v>-5</v>
      </c>
      <c r="O337" s="40">
        <v>46233</v>
      </c>
      <c r="P337" s="40">
        <v>46258</v>
      </c>
      <c r="Q337" s="34" t="s">
        <v>505</v>
      </c>
      <c r="R337" s="8" t="s">
        <v>537</v>
      </c>
      <c r="S337" s="18"/>
      <c r="T337" s="18"/>
      <c r="U337" s="33"/>
    </row>
    <row r="338" spans="1:21" ht="15.95" customHeight="1">
      <c r="A338" s="39">
        <v>9</v>
      </c>
      <c r="B338" s="40">
        <v>46161</v>
      </c>
      <c r="C338" s="40" t="s">
        <v>240</v>
      </c>
      <c r="D338" s="40" t="s">
        <v>7</v>
      </c>
      <c r="E338" s="49" t="s">
        <v>147</v>
      </c>
      <c r="F338" s="41" t="s">
        <v>148</v>
      </c>
      <c r="G338" s="41" t="s">
        <v>233</v>
      </c>
      <c r="H338" s="41" t="s">
        <v>481</v>
      </c>
      <c r="I338" s="46" t="s">
        <v>224</v>
      </c>
      <c r="J338" s="46" t="str">
        <f>VLOOKUP(I338,'DESCRICAO PRODUTO'!$A:$C,2,0)</f>
        <v>MICRO-ONDAS MO-02-34-B 220V/60HZ .</v>
      </c>
      <c r="K338" s="41" t="str">
        <f>VLOOKUP(I338,'DESCRICAO PRODUTO'!$A:$C,3,0)</f>
        <v>MO 34L</v>
      </c>
      <c r="L338" s="38">
        <v>19</v>
      </c>
      <c r="M338" s="58"/>
      <c r="N338" s="51">
        <f t="shared" si="5"/>
        <v>-19</v>
      </c>
      <c r="O338" s="40">
        <v>46233</v>
      </c>
      <c r="P338" s="40">
        <v>46258</v>
      </c>
      <c r="Q338" s="34" t="s">
        <v>505</v>
      </c>
      <c r="R338" s="8" t="s">
        <v>537</v>
      </c>
      <c r="S338" s="18"/>
      <c r="T338" s="18"/>
      <c r="U338" s="33"/>
    </row>
    <row r="339" spans="1:21" ht="15.95" customHeight="1">
      <c r="A339" s="39">
        <v>9</v>
      </c>
      <c r="B339" s="40">
        <v>46161</v>
      </c>
      <c r="C339" s="40" t="s">
        <v>240</v>
      </c>
      <c r="D339" s="40" t="s">
        <v>7</v>
      </c>
      <c r="E339" s="49" t="s">
        <v>147</v>
      </c>
      <c r="F339" s="41" t="s">
        <v>148</v>
      </c>
      <c r="G339" s="41" t="s">
        <v>233</v>
      </c>
      <c r="H339" s="41" t="s">
        <v>481</v>
      </c>
      <c r="I339" s="46" t="s">
        <v>224</v>
      </c>
      <c r="J339" s="46" t="str">
        <f>VLOOKUP(I339,'DESCRICAO PRODUTO'!$A:$C,2,0)</f>
        <v>MICRO-ONDAS MO-02-34-B 220V/60HZ .</v>
      </c>
      <c r="K339" s="41" t="str">
        <f>VLOOKUP(I339,'DESCRICAO PRODUTO'!$A:$C,3,0)</f>
        <v>MO 34L</v>
      </c>
      <c r="L339" s="38">
        <v>184</v>
      </c>
      <c r="M339" s="58"/>
      <c r="N339" s="51">
        <f t="shared" si="5"/>
        <v>-184</v>
      </c>
      <c r="O339" s="40">
        <v>46233</v>
      </c>
      <c r="P339" s="40">
        <v>46258</v>
      </c>
      <c r="Q339" s="34" t="s">
        <v>505</v>
      </c>
      <c r="R339" s="8" t="s">
        <v>537</v>
      </c>
      <c r="S339" s="18"/>
      <c r="T339" s="18"/>
      <c r="U339" s="33"/>
    </row>
    <row r="340" spans="1:21" ht="15.95" customHeight="1">
      <c r="A340" s="39">
        <v>9</v>
      </c>
      <c r="B340" s="40">
        <v>46161</v>
      </c>
      <c r="C340" s="40" t="s">
        <v>240</v>
      </c>
      <c r="D340" s="40" t="s">
        <v>7</v>
      </c>
      <c r="E340" s="49" t="s">
        <v>496</v>
      </c>
      <c r="F340" s="41" t="s">
        <v>497</v>
      </c>
      <c r="G340" s="41" t="s">
        <v>241</v>
      </c>
      <c r="H340" s="41" t="s">
        <v>479</v>
      </c>
      <c r="I340" s="46" t="s">
        <v>469</v>
      </c>
      <c r="J340" s="46" t="str">
        <f>VLOOKUP(I340,'DESCRICAO PRODUTO'!$A:$C,2,0)</f>
        <v>CAIXA AMPLIFICADA CM-220-N BIV.</v>
      </c>
      <c r="K340" s="41" t="str">
        <f>VLOOKUP(I340,'DESCRICAO PRODUTO'!$A:$C,3,0)</f>
        <v>CM 220 N</v>
      </c>
      <c r="L340" s="38">
        <v>8</v>
      </c>
      <c r="M340" s="58"/>
      <c r="N340" s="51">
        <f t="shared" si="5"/>
        <v>-8</v>
      </c>
      <c r="O340" s="40"/>
      <c r="P340" s="40">
        <v>46258</v>
      </c>
      <c r="Q340" s="34" t="s">
        <v>505</v>
      </c>
      <c r="R340" s="8" t="s">
        <v>548</v>
      </c>
      <c r="S340" s="18"/>
      <c r="T340" s="18"/>
      <c r="U340" s="33"/>
    </row>
    <row r="341" spans="1:21" ht="15.95" customHeight="1">
      <c r="A341" s="39">
        <v>9</v>
      </c>
      <c r="B341" s="40">
        <v>46161</v>
      </c>
      <c r="C341" s="40" t="s">
        <v>240</v>
      </c>
      <c r="D341" s="40" t="s">
        <v>7</v>
      </c>
      <c r="E341" s="49" t="s">
        <v>219</v>
      </c>
      <c r="F341" s="41" t="s">
        <v>498</v>
      </c>
      <c r="G341" s="41" t="s">
        <v>241</v>
      </c>
      <c r="H341" s="41" t="s">
        <v>480</v>
      </c>
      <c r="I341" s="46" t="s">
        <v>469</v>
      </c>
      <c r="J341" s="46" t="str">
        <f>VLOOKUP(I341,'DESCRICAO PRODUTO'!$A:$C,2,0)</f>
        <v>CAIXA AMPLIFICADA CM-220-N BIV.</v>
      </c>
      <c r="K341" s="41" t="str">
        <f>VLOOKUP(I341,'DESCRICAO PRODUTO'!$A:$C,3,0)</f>
        <v>CM 220 N</v>
      </c>
      <c r="L341" s="38">
        <v>2</v>
      </c>
      <c r="M341" s="58"/>
      <c r="N341" s="51">
        <f t="shared" si="5"/>
        <v>-2</v>
      </c>
      <c r="O341" s="40"/>
      <c r="P341" s="40"/>
      <c r="Q341" s="34" t="s">
        <v>4</v>
      </c>
      <c r="R341" s="18" t="s">
        <v>549</v>
      </c>
      <c r="S341" s="18"/>
      <c r="T341" s="18"/>
      <c r="U341" s="33"/>
    </row>
    <row r="342" spans="1:21" ht="15.95" customHeight="1">
      <c r="A342" s="39">
        <v>9</v>
      </c>
      <c r="B342" s="40">
        <v>46161</v>
      </c>
      <c r="C342" s="40" t="s">
        <v>240</v>
      </c>
      <c r="D342" s="40" t="s">
        <v>7</v>
      </c>
      <c r="E342" s="49" t="s">
        <v>525</v>
      </c>
      <c r="F342" s="41" t="s">
        <v>500</v>
      </c>
      <c r="G342" s="41" t="s">
        <v>241</v>
      </c>
      <c r="H342" s="41" t="s">
        <v>479</v>
      </c>
      <c r="I342" s="46" t="s">
        <v>346</v>
      </c>
      <c r="J342" s="46" t="str">
        <f>VLOOKUP(I342,'DESCRICAO PRODUTO'!$A:$C,2,0)</f>
        <v>CAIXA AMPLIFICADA CM-300-N BIV.</v>
      </c>
      <c r="K342" s="41" t="str">
        <f>VLOOKUP(I342,'DESCRICAO PRODUTO'!$A:$C,3,0)</f>
        <v>CM300N</v>
      </c>
      <c r="L342" s="38">
        <v>32</v>
      </c>
      <c r="M342" s="58">
        <v>32</v>
      </c>
      <c r="N342" s="51">
        <f t="shared" si="5"/>
        <v>0</v>
      </c>
      <c r="O342" s="40">
        <v>46241</v>
      </c>
      <c r="P342" s="40">
        <v>46247</v>
      </c>
      <c r="Q342" s="34" t="s">
        <v>455</v>
      </c>
      <c r="R342" s="8" t="s">
        <v>523</v>
      </c>
      <c r="S342" s="18">
        <v>31194</v>
      </c>
      <c r="T342" s="18" t="s">
        <v>531</v>
      </c>
      <c r="U342" s="33">
        <v>46262</v>
      </c>
    </row>
    <row r="343" spans="1:21" ht="15.95" customHeight="1">
      <c r="A343" s="39">
        <v>9</v>
      </c>
      <c r="B343" s="40">
        <v>46161</v>
      </c>
      <c r="C343" s="40" t="s">
        <v>240</v>
      </c>
      <c r="D343" s="40" t="s">
        <v>7</v>
      </c>
      <c r="E343" s="49" t="s">
        <v>331</v>
      </c>
      <c r="F343" s="41" t="s">
        <v>334</v>
      </c>
      <c r="G343" s="41" t="s">
        <v>241</v>
      </c>
      <c r="H343" s="41" t="s">
        <v>480</v>
      </c>
      <c r="I343" s="46" t="s">
        <v>346</v>
      </c>
      <c r="J343" s="46" t="str">
        <f>VLOOKUP(I343,'DESCRICAO PRODUTO'!$A:$C,2,0)</f>
        <v>CAIXA AMPLIFICADA CM-300-N BIV.</v>
      </c>
      <c r="K343" s="41" t="str">
        <f>VLOOKUP(I343,'DESCRICAO PRODUTO'!$A:$C,3,0)</f>
        <v>CM300N</v>
      </c>
      <c r="L343" s="38">
        <v>8</v>
      </c>
      <c r="M343" s="58">
        <v>8</v>
      </c>
      <c r="N343" s="51">
        <f t="shared" si="5"/>
        <v>0</v>
      </c>
      <c r="O343" s="40">
        <v>46252</v>
      </c>
      <c r="P343" s="40">
        <v>46253</v>
      </c>
      <c r="Q343" s="34" t="s">
        <v>455</v>
      </c>
      <c r="R343" s="18" t="s">
        <v>539</v>
      </c>
      <c r="S343" s="18">
        <v>31242</v>
      </c>
      <c r="T343" s="18" t="s">
        <v>559</v>
      </c>
      <c r="U343" s="33">
        <v>46269</v>
      </c>
    </row>
    <row r="344" spans="1:21" ht="15.95" customHeight="1">
      <c r="A344" s="39">
        <v>9</v>
      </c>
      <c r="B344" s="40">
        <v>46161</v>
      </c>
      <c r="C344" s="40" t="s">
        <v>240</v>
      </c>
      <c r="D344" s="40" t="s">
        <v>7</v>
      </c>
      <c r="E344" s="49" t="s">
        <v>501</v>
      </c>
      <c r="F344" s="41" t="s">
        <v>502</v>
      </c>
      <c r="G344" s="41" t="s">
        <v>241</v>
      </c>
      <c r="H344" s="41" t="s">
        <v>479</v>
      </c>
      <c r="I344" s="46" t="s">
        <v>349</v>
      </c>
      <c r="J344" s="46" t="str">
        <f>VLOOKUP(I344,'DESCRICAO PRODUTO'!$A:$C,2,0)</f>
        <v>CAIXA AMPLIFICADA CM-650-N BIV.</v>
      </c>
      <c r="K344" s="41" t="str">
        <f>VLOOKUP(I344,'DESCRICAO PRODUTO'!$A:$C,3,0)</f>
        <v>CM650N</v>
      </c>
      <c r="L344" s="38">
        <v>150</v>
      </c>
      <c r="M344" s="58">
        <v>150</v>
      </c>
      <c r="N344" s="51">
        <f t="shared" si="5"/>
        <v>0</v>
      </c>
      <c r="O344" s="40">
        <v>46232</v>
      </c>
      <c r="P344" s="40">
        <v>46247</v>
      </c>
      <c r="Q344" s="34" t="s">
        <v>455</v>
      </c>
      <c r="R344" s="8" t="s">
        <v>534</v>
      </c>
      <c r="S344" s="18">
        <v>31206</v>
      </c>
      <c r="T344" s="18" t="s">
        <v>531</v>
      </c>
      <c r="U344" s="33">
        <v>46262</v>
      </c>
    </row>
    <row r="345" spans="1:21" ht="15.95" customHeight="1">
      <c r="A345" s="39">
        <v>9</v>
      </c>
      <c r="B345" s="40">
        <v>46161</v>
      </c>
      <c r="C345" s="40" t="s">
        <v>240</v>
      </c>
      <c r="D345" s="40" t="s">
        <v>7</v>
      </c>
      <c r="E345" s="49" t="s">
        <v>503</v>
      </c>
      <c r="F345" s="41" t="s">
        <v>504</v>
      </c>
      <c r="G345" s="41" t="s">
        <v>241</v>
      </c>
      <c r="H345" s="41" t="s">
        <v>479</v>
      </c>
      <c r="I345" s="46" t="s">
        <v>351</v>
      </c>
      <c r="J345" s="46" t="str">
        <f>VLOOKUP(I345,'DESCRICAO PRODUTO'!$A:$C,2,0)</f>
        <v>CAIXA AMPLIFICADA CM-1000-N BIV.</v>
      </c>
      <c r="K345" s="41" t="str">
        <f>VLOOKUP(I345,'DESCRICAO PRODUTO'!$A:$C,3,0)</f>
        <v>CM1000N</v>
      </c>
      <c r="L345" s="38">
        <v>17</v>
      </c>
      <c r="M345" s="58"/>
      <c r="N345" s="51">
        <f t="shared" si="5"/>
        <v>-17</v>
      </c>
      <c r="O345" s="40"/>
      <c r="P345" s="40">
        <v>46258</v>
      </c>
      <c r="Q345" s="34" t="s">
        <v>505</v>
      </c>
      <c r="R345" s="8" t="s">
        <v>548</v>
      </c>
      <c r="S345" s="18"/>
      <c r="T345" s="18"/>
      <c r="U345" s="33"/>
    </row>
    <row r="346" spans="1:21" ht="15.95" customHeight="1">
      <c r="A346" s="39">
        <v>9</v>
      </c>
      <c r="B346" s="40">
        <v>46161</v>
      </c>
      <c r="C346" s="40" t="s">
        <v>240</v>
      </c>
      <c r="D346" s="40" t="s">
        <v>7</v>
      </c>
      <c r="E346" s="49" t="s">
        <v>317</v>
      </c>
      <c r="F346" s="41" t="s">
        <v>184</v>
      </c>
      <c r="G346" s="41" t="s">
        <v>241</v>
      </c>
      <c r="H346" s="41" t="s">
        <v>479</v>
      </c>
      <c r="I346" s="46" t="s">
        <v>141</v>
      </c>
      <c r="J346" s="46" t="str">
        <f>VLOOKUP(I346,'DESCRICAO PRODUTO'!$A:$C,2,0)</f>
        <v>TV 32 ANDROID BORD INF AWS-TV-32-BL-02-A</v>
      </c>
      <c r="K346" s="41" t="str">
        <f>VLOOKUP(I346,'DESCRICAO PRODUTO'!$A:$C,3,0)</f>
        <v>TV 32 ANDROID</v>
      </c>
      <c r="L346" s="38">
        <v>4</v>
      </c>
      <c r="M346" s="58">
        <v>4</v>
      </c>
      <c r="N346" s="51">
        <f t="shared" si="5"/>
        <v>0</v>
      </c>
      <c r="O346" s="40">
        <v>46241</v>
      </c>
      <c r="P346" s="40">
        <v>46247</v>
      </c>
      <c r="Q346" s="34" t="s">
        <v>455</v>
      </c>
      <c r="R346" s="8" t="s">
        <v>523</v>
      </c>
      <c r="S346" s="18">
        <v>31194</v>
      </c>
      <c r="T346" s="18" t="s">
        <v>531</v>
      </c>
      <c r="U346" s="33">
        <v>46262</v>
      </c>
    </row>
    <row r="347" spans="1:21" ht="15.95" customHeight="1">
      <c r="A347" s="39">
        <v>9</v>
      </c>
      <c r="B347" s="40">
        <v>46161</v>
      </c>
      <c r="C347" s="40" t="s">
        <v>240</v>
      </c>
      <c r="D347" s="40" t="s">
        <v>7</v>
      </c>
      <c r="E347" s="49" t="s">
        <v>317</v>
      </c>
      <c r="F347" s="41" t="s">
        <v>184</v>
      </c>
      <c r="G347" s="41" t="s">
        <v>241</v>
      </c>
      <c r="H347" s="41" t="s">
        <v>479</v>
      </c>
      <c r="I347" s="46" t="s">
        <v>90</v>
      </c>
      <c r="J347" s="46" t="str">
        <f>VLOOKUP(I347,'DESCRICAO PRODUTO'!$A:$C,2,0)</f>
        <v>TV 32 ANDROID BORD INF AWS-TV-32-BL-02-A</v>
      </c>
      <c r="K347" s="41" t="str">
        <f>VLOOKUP(I347,'DESCRICAO PRODUTO'!$A:$C,3,0)</f>
        <v>TV 32 ANDROID</v>
      </c>
      <c r="L347" s="38">
        <v>106</v>
      </c>
      <c r="M347" s="58">
        <v>106</v>
      </c>
      <c r="N347" s="51">
        <f t="shared" si="5"/>
        <v>0</v>
      </c>
      <c r="O347" s="40">
        <v>46241</v>
      </c>
      <c r="P347" s="40">
        <v>46247</v>
      </c>
      <c r="Q347" s="34" t="s">
        <v>455</v>
      </c>
      <c r="R347" s="8" t="s">
        <v>523</v>
      </c>
      <c r="S347" s="18">
        <v>31194</v>
      </c>
      <c r="T347" s="18" t="s">
        <v>531</v>
      </c>
      <c r="U347" s="33">
        <v>46262</v>
      </c>
    </row>
    <row r="348" spans="1:21" ht="15.95" customHeight="1">
      <c r="A348" s="39">
        <v>9</v>
      </c>
      <c r="B348" s="40">
        <v>46161</v>
      </c>
      <c r="C348" s="40" t="s">
        <v>240</v>
      </c>
      <c r="D348" s="40" t="s">
        <v>7</v>
      </c>
      <c r="E348" s="49" t="s">
        <v>330</v>
      </c>
      <c r="F348" s="41" t="s">
        <v>30</v>
      </c>
      <c r="G348" s="41" t="s">
        <v>241</v>
      </c>
      <c r="H348" s="41" t="s">
        <v>479</v>
      </c>
      <c r="I348" s="46" t="s">
        <v>142</v>
      </c>
      <c r="J348" s="46" t="str">
        <f>VLOOKUP(I348,'DESCRICAO PRODUTO'!$A:$C,2,0)</f>
        <v>TV 43 ANDROID BORD INF AWS-TV-43-BL-02-A</v>
      </c>
      <c r="K348" s="41" t="str">
        <f>VLOOKUP(I348,'DESCRICAO PRODUTO'!$A:$C,3,0)</f>
        <v>TV 43 ANDROID</v>
      </c>
      <c r="L348" s="38">
        <v>23</v>
      </c>
      <c r="M348" s="58"/>
      <c r="N348" s="51">
        <f t="shared" si="5"/>
        <v>-23</v>
      </c>
      <c r="O348" s="40">
        <v>46262</v>
      </c>
      <c r="P348" s="40">
        <v>46269</v>
      </c>
      <c r="Q348" s="34" t="s">
        <v>505</v>
      </c>
      <c r="R348" s="18" t="s">
        <v>552</v>
      </c>
      <c r="S348" s="18"/>
      <c r="T348" s="18"/>
      <c r="U348" s="33"/>
    </row>
    <row r="349" spans="1:21" ht="15.95" customHeight="1">
      <c r="A349" s="39">
        <v>9</v>
      </c>
      <c r="B349" s="40">
        <v>46161</v>
      </c>
      <c r="C349" s="40" t="s">
        <v>240</v>
      </c>
      <c r="D349" s="40" t="s">
        <v>7</v>
      </c>
      <c r="E349" s="49" t="s">
        <v>330</v>
      </c>
      <c r="F349" s="41" t="s">
        <v>30</v>
      </c>
      <c r="G349" s="41" t="s">
        <v>241</v>
      </c>
      <c r="H349" s="41" t="s">
        <v>479</v>
      </c>
      <c r="I349" s="46" t="s">
        <v>17</v>
      </c>
      <c r="J349" s="46" t="str">
        <f>VLOOKUP(I349,'DESCRICAO PRODUTO'!$A:$C,2,0)</f>
        <v>TV 43 ANDROID BORD INF AWS-TV-43-BL-02-A</v>
      </c>
      <c r="K349" s="41" t="str">
        <f>VLOOKUP(I349,'DESCRICAO PRODUTO'!$A:$C,3,0)</f>
        <v>TV 43 ANDROID</v>
      </c>
      <c r="L349" s="38">
        <v>64</v>
      </c>
      <c r="M349" s="58"/>
      <c r="N349" s="51">
        <f t="shared" si="5"/>
        <v>-64</v>
      </c>
      <c r="O349" s="40">
        <v>46262</v>
      </c>
      <c r="P349" s="40">
        <v>46269</v>
      </c>
      <c r="Q349" s="34" t="s">
        <v>505</v>
      </c>
      <c r="R349" s="18" t="s">
        <v>552</v>
      </c>
      <c r="S349" s="18"/>
      <c r="T349" s="18"/>
      <c r="U349" s="33"/>
    </row>
    <row r="350" spans="1:21" ht="15.95" customHeight="1">
      <c r="A350" s="39">
        <v>9</v>
      </c>
      <c r="B350" s="40">
        <v>46161</v>
      </c>
      <c r="C350" s="40" t="s">
        <v>240</v>
      </c>
      <c r="D350" s="40" t="s">
        <v>7</v>
      </c>
      <c r="E350" s="49" t="s">
        <v>330</v>
      </c>
      <c r="F350" s="41" t="s">
        <v>30</v>
      </c>
      <c r="G350" s="41" t="s">
        <v>241</v>
      </c>
      <c r="H350" s="41" t="s">
        <v>479</v>
      </c>
      <c r="I350" s="46" t="s">
        <v>17</v>
      </c>
      <c r="J350" s="46" t="str">
        <f>VLOOKUP(I350,'DESCRICAO PRODUTO'!$A:$C,2,0)</f>
        <v>TV 43 ANDROID BORD INF AWS-TV-43-BL-02-A</v>
      </c>
      <c r="K350" s="41" t="str">
        <f>VLOOKUP(I350,'DESCRICAO PRODUTO'!$A:$C,3,0)</f>
        <v>TV 43 ANDROID</v>
      </c>
      <c r="L350" s="38">
        <v>13</v>
      </c>
      <c r="M350" s="58"/>
      <c r="N350" s="51">
        <f t="shared" si="5"/>
        <v>-13</v>
      </c>
      <c r="O350" s="40">
        <v>46262</v>
      </c>
      <c r="P350" s="40">
        <v>46269</v>
      </c>
      <c r="Q350" s="34" t="s">
        <v>505</v>
      </c>
      <c r="R350" s="18" t="s">
        <v>552</v>
      </c>
      <c r="S350" s="18"/>
      <c r="T350" s="18"/>
      <c r="U350" s="33"/>
    </row>
    <row r="351" spans="1:21" ht="15.95" customHeight="1">
      <c r="A351" s="39">
        <v>9</v>
      </c>
      <c r="B351" s="40">
        <v>46161</v>
      </c>
      <c r="C351" s="40" t="s">
        <v>240</v>
      </c>
      <c r="D351" s="40" t="s">
        <v>7</v>
      </c>
      <c r="E351" s="49" t="s">
        <v>330</v>
      </c>
      <c r="F351" s="41" t="s">
        <v>30</v>
      </c>
      <c r="G351" s="41" t="s">
        <v>241</v>
      </c>
      <c r="H351" s="41" t="s">
        <v>479</v>
      </c>
      <c r="I351" s="46" t="s">
        <v>93</v>
      </c>
      <c r="J351" s="46" t="str">
        <f>VLOOKUP(I351,'DESCRICAO PRODUTO'!$A:$C,2,0)</f>
        <v>TV 43 ANDROID BORD INF AWS-TV-43-BL-02-A</v>
      </c>
      <c r="K351" s="41" t="str">
        <f>VLOOKUP(I351,'DESCRICAO PRODUTO'!$A:$C,3,0)</f>
        <v>TV 43 ANDROID</v>
      </c>
      <c r="L351" s="38">
        <v>225</v>
      </c>
      <c r="M351" s="58"/>
      <c r="N351" s="51">
        <f t="shared" si="5"/>
        <v>-225</v>
      </c>
      <c r="O351" s="40">
        <v>46262</v>
      </c>
      <c r="P351" s="40">
        <v>46269</v>
      </c>
      <c r="Q351" s="34" t="s">
        <v>505</v>
      </c>
      <c r="R351" s="18" t="s">
        <v>552</v>
      </c>
      <c r="S351" s="18"/>
      <c r="T351" s="18"/>
      <c r="U351" s="33"/>
    </row>
    <row r="352" spans="1:21" ht="15.95" customHeight="1">
      <c r="A352" s="39">
        <v>9</v>
      </c>
      <c r="B352" s="40">
        <v>46161</v>
      </c>
      <c r="C352" s="40" t="s">
        <v>240</v>
      </c>
      <c r="D352" s="40" t="s">
        <v>7</v>
      </c>
      <c r="E352" s="49" t="s">
        <v>330</v>
      </c>
      <c r="F352" s="41" t="s">
        <v>30</v>
      </c>
      <c r="G352" s="41" t="s">
        <v>241</v>
      </c>
      <c r="H352" s="41" t="s">
        <v>479</v>
      </c>
      <c r="I352" s="46" t="s">
        <v>93</v>
      </c>
      <c r="J352" s="46" t="str">
        <f>VLOOKUP(I352,'DESCRICAO PRODUTO'!$A:$C,2,0)</f>
        <v>TV 43 ANDROID BORD INF AWS-TV-43-BL-02-A</v>
      </c>
      <c r="K352" s="41" t="str">
        <f>VLOOKUP(I352,'DESCRICAO PRODUTO'!$A:$C,3,0)</f>
        <v>TV 43 ANDROID</v>
      </c>
      <c r="L352" s="38">
        <v>33</v>
      </c>
      <c r="M352" s="58"/>
      <c r="N352" s="51">
        <f t="shared" si="5"/>
        <v>-33</v>
      </c>
      <c r="O352" s="40">
        <v>46262</v>
      </c>
      <c r="P352" s="40">
        <v>46269</v>
      </c>
      <c r="Q352" s="34" t="s">
        <v>505</v>
      </c>
      <c r="R352" s="18" t="s">
        <v>552</v>
      </c>
      <c r="S352" s="18"/>
      <c r="T352" s="18"/>
      <c r="U352" s="33"/>
    </row>
    <row r="353" spans="1:21" ht="15.95" customHeight="1">
      <c r="A353" s="39">
        <v>9</v>
      </c>
      <c r="B353" s="40">
        <v>46161</v>
      </c>
      <c r="C353" s="40" t="s">
        <v>240</v>
      </c>
      <c r="D353" s="40" t="s">
        <v>7</v>
      </c>
      <c r="E353" s="49" t="s">
        <v>526</v>
      </c>
      <c r="F353" s="41" t="s">
        <v>230</v>
      </c>
      <c r="G353" s="41" t="s">
        <v>241</v>
      </c>
      <c r="H353" s="41" t="s">
        <v>479</v>
      </c>
      <c r="I353" s="46" t="s">
        <v>200</v>
      </c>
      <c r="J353" s="46" t="str">
        <f>VLOOKUP(I353,'DESCRICAO PRODUTO'!$A:$C,2,0)</f>
        <v>CAIXA AMPLIFICADA CM-400-L BIVOLT .</v>
      </c>
      <c r="K353" s="41" t="str">
        <f>VLOOKUP(I353,'DESCRICAO PRODUTO'!$A:$C,3,0)</f>
        <v>CM 400L</v>
      </c>
      <c r="L353" s="38">
        <v>12</v>
      </c>
      <c r="M353" s="58">
        <v>12</v>
      </c>
      <c r="N353" s="51">
        <f t="shared" si="5"/>
        <v>0</v>
      </c>
      <c r="O353" s="40">
        <v>46241</v>
      </c>
      <c r="P353" s="40">
        <v>46247</v>
      </c>
      <c r="Q353" s="34" t="s">
        <v>455</v>
      </c>
      <c r="R353" s="8" t="s">
        <v>523</v>
      </c>
      <c r="S353" s="18">
        <v>31194</v>
      </c>
      <c r="T353" s="18" t="s">
        <v>531</v>
      </c>
      <c r="U353" s="33">
        <v>46262</v>
      </c>
    </row>
    <row r="354" spans="1:21" ht="15.95" customHeight="1">
      <c r="A354" s="39">
        <v>9</v>
      </c>
      <c r="B354" s="40">
        <v>46161</v>
      </c>
      <c r="C354" s="40" t="s">
        <v>240</v>
      </c>
      <c r="D354" s="40" t="s">
        <v>7</v>
      </c>
      <c r="E354" s="49" t="s">
        <v>205</v>
      </c>
      <c r="F354" s="41" t="s">
        <v>206</v>
      </c>
      <c r="G354" s="41" t="s">
        <v>241</v>
      </c>
      <c r="H354" s="41" t="s">
        <v>479</v>
      </c>
      <c r="I354" s="46" t="s">
        <v>199</v>
      </c>
      <c r="J354" s="46" t="str">
        <f>VLOOKUP(I354,'DESCRICAO PRODUTO'!$A:$C,2,0)</f>
        <v>CAIXA AMPLIFICADA CM-550-L BIVOLT .</v>
      </c>
      <c r="K354" s="41" t="str">
        <f>VLOOKUP(I354,'DESCRICAO PRODUTO'!$A:$C,3,0)</f>
        <v>CM 550L</v>
      </c>
      <c r="L354" s="38">
        <v>2</v>
      </c>
      <c r="M354" s="58"/>
      <c r="N354" s="51">
        <f t="shared" si="5"/>
        <v>-2</v>
      </c>
      <c r="O354" s="40">
        <v>46286</v>
      </c>
      <c r="P354" s="40">
        <v>46286</v>
      </c>
      <c r="Q354" s="34" t="s">
        <v>505</v>
      </c>
      <c r="R354" s="18" t="s">
        <v>554</v>
      </c>
      <c r="S354" s="18"/>
      <c r="T354" s="18"/>
      <c r="U354" s="33"/>
    </row>
    <row r="355" spans="1:21" ht="15.95" customHeight="1">
      <c r="A355" s="39">
        <v>9</v>
      </c>
      <c r="B355" s="40">
        <v>46161</v>
      </c>
      <c r="C355" s="40" t="s">
        <v>240</v>
      </c>
      <c r="D355" s="40" t="s">
        <v>7</v>
      </c>
      <c r="E355" s="49" t="s">
        <v>123</v>
      </c>
      <c r="F355" s="41" t="s">
        <v>183</v>
      </c>
      <c r="G355" s="41" t="s">
        <v>241</v>
      </c>
      <c r="H355" s="41" t="s">
        <v>479</v>
      </c>
      <c r="I355" s="46" t="s">
        <v>86</v>
      </c>
      <c r="J355" s="46" t="str">
        <f>VLOOKUP(I355,'DESCRICAO PRODUTO'!$A:$C,2,0)</f>
        <v>BOOMBOX C/ LUZES AWS-BBS-01-LBL BIVOLT</v>
      </c>
      <c r="K355" s="41" t="str">
        <f>VLOOKUP(I355,'DESCRICAO PRODUTO'!$A:$C,3,0)</f>
        <v>BBS LBL</v>
      </c>
      <c r="L355" s="38">
        <v>98</v>
      </c>
      <c r="M355" s="58">
        <v>600</v>
      </c>
      <c r="N355" s="51">
        <f t="shared" si="5"/>
        <v>502</v>
      </c>
      <c r="O355" s="40">
        <v>46253</v>
      </c>
      <c r="P355" s="40">
        <v>46258</v>
      </c>
      <c r="Q355" s="34" t="s">
        <v>505</v>
      </c>
      <c r="R355" s="8" t="s">
        <v>548</v>
      </c>
      <c r="S355" s="18"/>
      <c r="T355" s="18"/>
      <c r="U355" s="33"/>
    </row>
    <row r="356" spans="1:21" ht="15">
      <c r="A356" s="39">
        <v>9</v>
      </c>
      <c r="B356" s="40">
        <v>46161</v>
      </c>
      <c r="C356" s="40" t="s">
        <v>240</v>
      </c>
      <c r="D356" s="40" t="s">
        <v>7</v>
      </c>
      <c r="E356" s="49" t="s">
        <v>123</v>
      </c>
      <c r="F356" s="41" t="s">
        <v>183</v>
      </c>
      <c r="G356" s="41" t="s">
        <v>241</v>
      </c>
      <c r="H356" s="41" t="s">
        <v>479</v>
      </c>
      <c r="I356" s="46" t="s">
        <v>86</v>
      </c>
      <c r="J356" s="46" t="str">
        <f>VLOOKUP(I356,'DESCRICAO PRODUTO'!$A:$C,2,0)</f>
        <v>BOOMBOX C/ LUZES AWS-BBS-01-LBL BIVOLT</v>
      </c>
      <c r="K356" s="41" t="str">
        <f>VLOOKUP(I356,'DESCRICAO PRODUTO'!$A:$C,3,0)</f>
        <v>BBS LBL</v>
      </c>
      <c r="L356" s="38">
        <v>32</v>
      </c>
      <c r="M356" s="58"/>
      <c r="N356" s="51">
        <f t="shared" si="5"/>
        <v>-32</v>
      </c>
      <c r="O356" s="40">
        <v>46253</v>
      </c>
      <c r="P356" s="40">
        <v>46258</v>
      </c>
      <c r="Q356" s="34" t="s">
        <v>505</v>
      </c>
      <c r="R356" s="8" t="s">
        <v>548</v>
      </c>
      <c r="S356" s="18"/>
      <c r="T356" s="18"/>
      <c r="U356" s="33"/>
    </row>
    <row r="357" spans="1:21" ht="15">
      <c r="A357" s="39">
        <v>9</v>
      </c>
      <c r="B357" s="40">
        <v>46161</v>
      </c>
      <c r="C357" s="40" t="s">
        <v>240</v>
      </c>
      <c r="D357" s="40" t="s">
        <v>7</v>
      </c>
      <c r="E357" s="49" t="s">
        <v>31</v>
      </c>
      <c r="F357" s="41" t="s">
        <v>32</v>
      </c>
      <c r="G357" s="41" t="s">
        <v>241</v>
      </c>
      <c r="H357" s="41" t="s">
        <v>479</v>
      </c>
      <c r="I357" s="46" t="s">
        <v>88</v>
      </c>
      <c r="J357" s="46" t="str">
        <f>VLOOKUP(I357,'DESCRICAO PRODUTO'!$A:$C,2,0)</f>
        <v>CAIXA AMPLIFICADA CM-700 BIVOLT .</v>
      </c>
      <c r="K357" s="41" t="str">
        <f>VLOOKUP(I357,'DESCRICAO PRODUTO'!$A:$C,3,0)</f>
        <v>CM 700</v>
      </c>
      <c r="L357" s="38">
        <v>52</v>
      </c>
      <c r="M357" s="58"/>
      <c r="N357" s="51">
        <f t="shared" si="5"/>
        <v>-52</v>
      </c>
      <c r="O357" s="40"/>
      <c r="P357" s="40"/>
      <c r="Q357" s="34" t="s">
        <v>4</v>
      </c>
      <c r="R357" s="18" t="s">
        <v>549</v>
      </c>
      <c r="S357" s="18"/>
      <c r="T357" s="18"/>
      <c r="U357" s="33"/>
    </row>
    <row r="358" spans="1:21" ht="15">
      <c r="A358" s="39">
        <v>9</v>
      </c>
      <c r="B358" s="40">
        <v>46161</v>
      </c>
      <c r="C358" s="40" t="s">
        <v>240</v>
      </c>
      <c r="D358" s="40" t="s">
        <v>7</v>
      </c>
      <c r="E358" s="49" t="s">
        <v>31</v>
      </c>
      <c r="F358" s="41" t="s">
        <v>32</v>
      </c>
      <c r="G358" s="41" t="s">
        <v>241</v>
      </c>
      <c r="H358" s="41" t="s">
        <v>479</v>
      </c>
      <c r="I358" s="46" t="s">
        <v>23</v>
      </c>
      <c r="J358" s="46" t="str">
        <f>VLOOKUP(I358,'DESCRICAO PRODUTO'!$A:$C,2,0)</f>
        <v>CAIXA AMPLIFICADA CM-700 BIVOLT .</v>
      </c>
      <c r="K358" s="41" t="str">
        <f>VLOOKUP(I358,'DESCRICAO PRODUTO'!$A:$C,3,0)</f>
        <v>CM 700</v>
      </c>
      <c r="L358" s="38">
        <v>20</v>
      </c>
      <c r="M358" s="58"/>
      <c r="N358" s="51">
        <f t="shared" si="5"/>
        <v>-20</v>
      </c>
      <c r="O358" s="40"/>
      <c r="P358" s="40"/>
      <c r="Q358" s="34" t="s">
        <v>4</v>
      </c>
      <c r="R358" s="18" t="s">
        <v>549</v>
      </c>
      <c r="S358" s="18"/>
      <c r="T358" s="18"/>
      <c r="U358" s="33"/>
    </row>
    <row r="359" spans="1:21" ht="15">
      <c r="A359" s="39">
        <v>9</v>
      </c>
      <c r="B359" s="40">
        <v>46161</v>
      </c>
      <c r="C359" s="40" t="s">
        <v>240</v>
      </c>
      <c r="D359" s="40" t="s">
        <v>7</v>
      </c>
      <c r="E359" s="49" t="s">
        <v>31</v>
      </c>
      <c r="F359" s="41" t="s">
        <v>32</v>
      </c>
      <c r="G359" s="41" t="s">
        <v>241</v>
      </c>
      <c r="H359" s="41" t="s">
        <v>479</v>
      </c>
      <c r="I359" s="46" t="s">
        <v>23</v>
      </c>
      <c r="J359" s="46" t="str">
        <f>VLOOKUP(I359,'DESCRICAO PRODUTO'!$A:$C,2,0)</f>
        <v>CAIXA AMPLIFICADA CM-700 BIVOLT .</v>
      </c>
      <c r="K359" s="41" t="str">
        <f>VLOOKUP(I359,'DESCRICAO PRODUTO'!$A:$C,3,0)</f>
        <v>CM 700</v>
      </c>
      <c r="L359" s="38">
        <v>181</v>
      </c>
      <c r="M359" s="58"/>
      <c r="N359" s="51">
        <f t="shared" si="5"/>
        <v>-181</v>
      </c>
      <c r="O359" s="40"/>
      <c r="P359" s="40"/>
      <c r="Q359" s="34" t="s">
        <v>4</v>
      </c>
      <c r="R359" s="18" t="s">
        <v>549</v>
      </c>
      <c r="S359" s="18"/>
      <c r="T359" s="18"/>
      <c r="U359" s="33"/>
    </row>
    <row r="360" spans="1:21" ht="15">
      <c r="A360" s="39">
        <v>9</v>
      </c>
      <c r="B360" s="40">
        <v>46161</v>
      </c>
      <c r="C360" s="40" t="s">
        <v>240</v>
      </c>
      <c r="D360" s="40" t="s">
        <v>7</v>
      </c>
      <c r="E360" s="49" t="s">
        <v>449</v>
      </c>
      <c r="F360" s="41" t="s">
        <v>451</v>
      </c>
      <c r="G360" s="41" t="s">
        <v>233</v>
      </c>
      <c r="H360" s="41" t="s">
        <v>481</v>
      </c>
      <c r="I360" s="46" t="s">
        <v>88</v>
      </c>
      <c r="J360" s="46" t="str">
        <f>VLOOKUP(I360,'DESCRICAO PRODUTO'!$A:$C,2,0)</f>
        <v>CAIXA AMPLIFICADA CM-700 BIVOLT .</v>
      </c>
      <c r="K360" s="41" t="str">
        <f>VLOOKUP(I360,'DESCRICAO PRODUTO'!$A:$C,3,0)</f>
        <v>CM 700</v>
      </c>
      <c r="L360" s="38">
        <v>52</v>
      </c>
      <c r="M360" s="58"/>
      <c r="N360" s="51">
        <f t="shared" si="5"/>
        <v>-52</v>
      </c>
      <c r="O360" s="40"/>
      <c r="P360" s="40"/>
      <c r="Q360" s="34" t="s">
        <v>4</v>
      </c>
      <c r="R360" s="18" t="s">
        <v>549</v>
      </c>
      <c r="S360" s="18"/>
      <c r="T360" s="18"/>
      <c r="U360" s="33"/>
    </row>
    <row r="361" spans="1:21" ht="15">
      <c r="A361" s="39">
        <v>9</v>
      </c>
      <c r="B361" s="40">
        <v>46161</v>
      </c>
      <c r="C361" s="40" t="s">
        <v>240</v>
      </c>
      <c r="D361" s="40" t="s">
        <v>7</v>
      </c>
      <c r="E361" s="49" t="s">
        <v>449</v>
      </c>
      <c r="F361" s="41" t="s">
        <v>451</v>
      </c>
      <c r="G361" s="41" t="s">
        <v>233</v>
      </c>
      <c r="H361" s="41" t="s">
        <v>481</v>
      </c>
      <c r="I361" s="46" t="s">
        <v>23</v>
      </c>
      <c r="J361" s="46" t="str">
        <f>VLOOKUP(I361,'DESCRICAO PRODUTO'!$A:$C,2,0)</f>
        <v>CAIXA AMPLIFICADA CM-700 BIVOLT .</v>
      </c>
      <c r="K361" s="41" t="str">
        <f>VLOOKUP(I361,'DESCRICAO PRODUTO'!$A:$C,3,0)</f>
        <v>CM 700</v>
      </c>
      <c r="L361" s="38">
        <v>20</v>
      </c>
      <c r="M361" s="58"/>
      <c r="N361" s="51">
        <f t="shared" si="5"/>
        <v>-20</v>
      </c>
      <c r="O361" s="40"/>
      <c r="P361" s="40"/>
      <c r="Q361" s="34" t="s">
        <v>4</v>
      </c>
      <c r="R361" s="18" t="s">
        <v>549</v>
      </c>
      <c r="S361" s="18"/>
      <c r="T361" s="18"/>
      <c r="U361" s="33"/>
    </row>
    <row r="362" spans="1:21" ht="15">
      <c r="A362" s="39">
        <v>9</v>
      </c>
      <c r="B362" s="40">
        <v>46161</v>
      </c>
      <c r="C362" s="40" t="s">
        <v>240</v>
      </c>
      <c r="D362" s="40" t="s">
        <v>7</v>
      </c>
      <c r="E362" s="49" t="s">
        <v>449</v>
      </c>
      <c r="F362" s="41" t="s">
        <v>451</v>
      </c>
      <c r="G362" s="41" t="s">
        <v>233</v>
      </c>
      <c r="H362" s="41" t="s">
        <v>481</v>
      </c>
      <c r="I362" s="46" t="s">
        <v>23</v>
      </c>
      <c r="J362" s="46" t="str">
        <f>VLOOKUP(I362,'DESCRICAO PRODUTO'!$A:$C,2,0)</f>
        <v>CAIXA AMPLIFICADA CM-700 BIVOLT .</v>
      </c>
      <c r="K362" s="41" t="str">
        <f>VLOOKUP(I362,'DESCRICAO PRODUTO'!$A:$C,3,0)</f>
        <v>CM 700</v>
      </c>
      <c r="L362" s="38">
        <v>181</v>
      </c>
      <c r="M362" s="58"/>
      <c r="N362" s="51">
        <f t="shared" si="5"/>
        <v>-181</v>
      </c>
      <c r="O362" s="40"/>
      <c r="P362" s="40"/>
      <c r="Q362" s="34" t="s">
        <v>4</v>
      </c>
      <c r="R362" s="18" t="s">
        <v>549</v>
      </c>
      <c r="S362" s="18"/>
      <c r="T362" s="18"/>
      <c r="U362" s="33"/>
    </row>
    <row r="363" spans="1:21" ht="15">
      <c r="A363" s="39">
        <v>9</v>
      </c>
      <c r="B363" s="40">
        <v>46161</v>
      </c>
      <c r="C363" s="40" t="s">
        <v>240</v>
      </c>
      <c r="D363" s="40" t="s">
        <v>7</v>
      </c>
      <c r="E363" s="49" t="s">
        <v>219</v>
      </c>
      <c r="F363" s="41" t="s">
        <v>498</v>
      </c>
      <c r="G363" s="41" t="s">
        <v>241</v>
      </c>
      <c r="H363" s="41" t="s">
        <v>480</v>
      </c>
      <c r="I363" s="46" t="s">
        <v>70</v>
      </c>
      <c r="J363" s="46" t="str">
        <f>VLOOKUP(I363,'DESCRICAO PRODUTO'!$A:$C,2,0)</f>
        <v>CAIXA AMPLIFICADA CM-150 BIVOLT .</v>
      </c>
      <c r="K363" s="41" t="str">
        <f>VLOOKUP(I363,'DESCRICAO PRODUTO'!$A:$C,3,0)</f>
        <v>CM150</v>
      </c>
      <c r="L363" s="38">
        <v>16</v>
      </c>
      <c r="M363" s="58"/>
      <c r="N363" s="51">
        <f t="shared" si="5"/>
        <v>-16</v>
      </c>
      <c r="O363" s="40"/>
      <c r="P363" s="40"/>
      <c r="Q363" s="34" t="s">
        <v>4</v>
      </c>
      <c r="R363" s="18" t="s">
        <v>549</v>
      </c>
      <c r="S363" s="18"/>
      <c r="T363" s="18"/>
      <c r="U363" s="33"/>
    </row>
    <row r="364" spans="1:21" ht="15.95" customHeight="1">
      <c r="A364" s="39">
        <v>9</v>
      </c>
      <c r="B364" s="40">
        <v>46161</v>
      </c>
      <c r="C364" s="40" t="s">
        <v>240</v>
      </c>
      <c r="D364" s="40" t="s">
        <v>7</v>
      </c>
      <c r="E364" s="49" t="s">
        <v>219</v>
      </c>
      <c r="F364" s="41" t="s">
        <v>498</v>
      </c>
      <c r="G364" s="41" t="s">
        <v>241</v>
      </c>
      <c r="H364" s="41" t="s">
        <v>480</v>
      </c>
      <c r="I364" s="46" t="s">
        <v>70</v>
      </c>
      <c r="J364" s="46" t="str">
        <f>VLOOKUP(I364,'DESCRICAO PRODUTO'!$A:$C,2,0)</f>
        <v>CAIXA AMPLIFICADA CM-150 BIVOLT .</v>
      </c>
      <c r="K364" s="41" t="str">
        <f>VLOOKUP(I364,'DESCRICAO PRODUTO'!$A:$C,3,0)</f>
        <v>CM150</v>
      </c>
      <c r="L364" s="38">
        <v>40</v>
      </c>
      <c r="M364" s="58"/>
      <c r="N364" s="51">
        <f t="shared" si="5"/>
        <v>-40</v>
      </c>
      <c r="O364" s="40"/>
      <c r="P364" s="40"/>
      <c r="Q364" s="34" t="s">
        <v>4</v>
      </c>
      <c r="R364" s="18" t="s">
        <v>549</v>
      </c>
      <c r="S364" s="18"/>
      <c r="T364" s="18"/>
      <c r="U364" s="33"/>
    </row>
    <row r="365" spans="1:21" ht="15.95" customHeight="1">
      <c r="A365" s="39">
        <v>9</v>
      </c>
      <c r="B365" s="40">
        <v>46161</v>
      </c>
      <c r="C365" s="40" t="s">
        <v>240</v>
      </c>
      <c r="D365" s="40" t="s">
        <v>7</v>
      </c>
      <c r="E365" s="49" t="s">
        <v>219</v>
      </c>
      <c r="F365" s="41" t="s">
        <v>498</v>
      </c>
      <c r="G365" s="41" t="s">
        <v>241</v>
      </c>
      <c r="H365" s="41" t="s">
        <v>480</v>
      </c>
      <c r="I365" s="46" t="s">
        <v>25</v>
      </c>
      <c r="J365" s="46" t="str">
        <f>VLOOKUP(I365,'DESCRICAO PRODUTO'!$A:$C,2,0)</f>
        <v>CAIXA AMPLIFICADA CM-150 BIVOLT .</v>
      </c>
      <c r="K365" s="41" t="str">
        <f>VLOOKUP(I365,'DESCRICAO PRODUTO'!$A:$C,3,0)</f>
        <v>CM150</v>
      </c>
      <c r="L365" s="38">
        <v>192</v>
      </c>
      <c r="M365" s="58"/>
      <c r="N365" s="51">
        <f t="shared" si="5"/>
        <v>-192</v>
      </c>
      <c r="O365" s="40"/>
      <c r="P365" s="40"/>
      <c r="Q365" s="34" t="s">
        <v>4</v>
      </c>
      <c r="R365" s="18" t="s">
        <v>549</v>
      </c>
      <c r="S365" s="18"/>
      <c r="T365" s="18"/>
      <c r="U365" s="33"/>
    </row>
    <row r="366" spans="1:21" ht="15.95" customHeight="1">
      <c r="A366" s="39">
        <v>9</v>
      </c>
      <c r="B366" s="40">
        <v>46161</v>
      </c>
      <c r="C366" s="40" t="s">
        <v>240</v>
      </c>
      <c r="D366" s="40" t="s">
        <v>7</v>
      </c>
      <c r="E366" s="49" t="s">
        <v>219</v>
      </c>
      <c r="F366" s="41" t="s">
        <v>498</v>
      </c>
      <c r="G366" s="41" t="s">
        <v>241</v>
      </c>
      <c r="H366" s="41" t="s">
        <v>480</v>
      </c>
      <c r="I366" s="46" t="s">
        <v>25</v>
      </c>
      <c r="J366" s="46" t="str">
        <f>VLOOKUP(I366,'DESCRICAO PRODUTO'!$A:$C,2,0)</f>
        <v>CAIXA AMPLIFICADA CM-150 BIVOLT .</v>
      </c>
      <c r="K366" s="41" t="str">
        <f>VLOOKUP(I366,'DESCRICAO PRODUTO'!$A:$C,3,0)</f>
        <v>CM150</v>
      </c>
      <c r="L366" s="38">
        <v>20</v>
      </c>
      <c r="M366" s="58"/>
      <c r="N366" s="51">
        <f t="shared" si="5"/>
        <v>-20</v>
      </c>
      <c r="O366" s="40"/>
      <c r="P366" s="40"/>
      <c r="Q366" s="34" t="s">
        <v>4</v>
      </c>
      <c r="R366" s="18" t="s">
        <v>549</v>
      </c>
      <c r="S366" s="18"/>
      <c r="T366" s="18"/>
      <c r="U366" s="33"/>
    </row>
    <row r="367" spans="1:21" ht="15.95" customHeight="1">
      <c r="A367" s="39">
        <v>9</v>
      </c>
      <c r="B367" s="40">
        <v>46161</v>
      </c>
      <c r="C367" s="40" t="s">
        <v>240</v>
      </c>
      <c r="D367" s="40" t="s">
        <v>7</v>
      </c>
      <c r="E367" s="49" t="s">
        <v>113</v>
      </c>
      <c r="F367" s="41" t="s">
        <v>182</v>
      </c>
      <c r="G367" s="41" t="s">
        <v>241</v>
      </c>
      <c r="H367" s="41" t="s">
        <v>479</v>
      </c>
      <c r="I367" s="46" t="s">
        <v>43</v>
      </c>
      <c r="J367" s="46" t="s">
        <v>414</v>
      </c>
      <c r="K367" s="41" t="s">
        <v>492</v>
      </c>
      <c r="L367" s="38">
        <v>65</v>
      </c>
      <c r="M367" s="58">
        <v>65</v>
      </c>
      <c r="N367" s="51">
        <f t="shared" si="5"/>
        <v>0</v>
      </c>
      <c r="O367" s="40">
        <v>46241</v>
      </c>
      <c r="P367" s="40">
        <v>46245</v>
      </c>
      <c r="Q367" s="34" t="s">
        <v>455</v>
      </c>
      <c r="R367" s="8" t="s">
        <v>515</v>
      </c>
      <c r="S367" s="18">
        <v>31173</v>
      </c>
      <c r="T367" s="18" t="s">
        <v>519</v>
      </c>
      <c r="U367" s="33">
        <v>46260</v>
      </c>
    </row>
    <row r="368" spans="1:21" ht="15.95" customHeight="1">
      <c r="A368" s="39">
        <v>9</v>
      </c>
      <c r="B368" s="40">
        <v>46161</v>
      </c>
      <c r="C368" s="40" t="s">
        <v>240</v>
      </c>
      <c r="D368" s="40" t="s">
        <v>7</v>
      </c>
      <c r="E368" s="49" t="s">
        <v>489</v>
      </c>
      <c r="F368" s="41" t="s">
        <v>490</v>
      </c>
      <c r="G368" s="41" t="s">
        <v>233</v>
      </c>
      <c r="H368" s="41" t="s">
        <v>483</v>
      </c>
      <c r="I368" s="46" t="s">
        <v>86</v>
      </c>
      <c r="J368" s="46" t="str">
        <f>VLOOKUP(I368,'DESCRICAO PRODUTO'!$A:$C,2,0)</f>
        <v>BOOMBOX C/ LUZES AWS-BBS-01-LBL BIVOLT</v>
      </c>
      <c r="K368" s="41" t="str">
        <f>VLOOKUP(I368,'DESCRICAO PRODUTO'!$A:$C,3,0)</f>
        <v>BBS LBL</v>
      </c>
      <c r="L368" s="38">
        <v>260</v>
      </c>
      <c r="M368" s="58">
        <v>260</v>
      </c>
      <c r="N368" s="51">
        <f t="shared" si="5"/>
        <v>0</v>
      </c>
      <c r="O368" s="40">
        <v>46253</v>
      </c>
      <c r="P368" s="40">
        <v>46258</v>
      </c>
      <c r="Q368" s="34" t="s">
        <v>505</v>
      </c>
      <c r="R368" s="18" t="s">
        <v>548</v>
      </c>
      <c r="S368" s="18"/>
      <c r="T368" s="18"/>
      <c r="U368" s="33"/>
    </row>
    <row r="369" spans="1:21" ht="15.95" customHeight="1">
      <c r="A369" s="39">
        <v>9</v>
      </c>
      <c r="B369" s="40">
        <v>46161</v>
      </c>
      <c r="C369" s="40" t="s">
        <v>240</v>
      </c>
      <c r="D369" s="40" t="s">
        <v>7</v>
      </c>
      <c r="E369" s="49" t="s">
        <v>501</v>
      </c>
      <c r="F369" s="41" t="s">
        <v>502</v>
      </c>
      <c r="G369" s="41" t="s">
        <v>241</v>
      </c>
      <c r="H369" s="41" t="s">
        <v>479</v>
      </c>
      <c r="I369" s="46" t="s">
        <v>349</v>
      </c>
      <c r="J369" s="46" t="str">
        <f>VLOOKUP(I369,'DESCRICAO PRODUTO'!$A:$C,2,0)</f>
        <v>CAIXA AMPLIFICADA CM-650-N BIV.</v>
      </c>
      <c r="K369" s="41" t="str">
        <f>VLOOKUP(I369,'DESCRICAO PRODUTO'!$A:$C,3,0)</f>
        <v>CM650N</v>
      </c>
      <c r="L369" s="38">
        <v>65</v>
      </c>
      <c r="M369" s="58">
        <v>65</v>
      </c>
      <c r="N369" s="51">
        <f t="shared" si="5"/>
        <v>0</v>
      </c>
      <c r="O369" s="40">
        <v>46252</v>
      </c>
      <c r="P369" s="40">
        <v>46253</v>
      </c>
      <c r="Q369" s="34" t="s">
        <v>455</v>
      </c>
      <c r="R369" s="18" t="s">
        <v>539</v>
      </c>
      <c r="S369" s="18">
        <v>31242</v>
      </c>
      <c r="T369" s="18" t="s">
        <v>559</v>
      </c>
      <c r="U369" s="33">
        <v>46269</v>
      </c>
    </row>
    <row r="370" spans="1:21" ht="15.95" customHeight="1">
      <c r="A370" s="39">
        <v>10</v>
      </c>
      <c r="B370" s="40">
        <v>46188</v>
      </c>
      <c r="C370" s="40" t="s">
        <v>476</v>
      </c>
      <c r="D370" s="40" t="s">
        <v>339</v>
      </c>
      <c r="E370" s="49" t="s">
        <v>113</v>
      </c>
      <c r="F370" s="41" t="s">
        <v>182</v>
      </c>
      <c r="G370" s="41" t="s">
        <v>241</v>
      </c>
      <c r="H370" s="41" t="s">
        <v>479</v>
      </c>
      <c r="I370" s="46" t="s">
        <v>43</v>
      </c>
      <c r="J370" s="46" t="str">
        <f>VLOOKUP(I370,'DESCRICAO PRODUTO'!$A:$C,2,0)</f>
        <v>CAIXA AMPLIFICADA CM-400 BIVOLT .</v>
      </c>
      <c r="K370" s="41" t="s">
        <v>492</v>
      </c>
      <c r="L370" s="38">
        <v>415</v>
      </c>
      <c r="M370" s="58">
        <v>415</v>
      </c>
      <c r="N370" s="51">
        <f t="shared" si="5"/>
        <v>0</v>
      </c>
      <c r="O370" s="40">
        <v>46241</v>
      </c>
      <c r="P370" s="40">
        <v>46245</v>
      </c>
      <c r="Q370" s="34" t="s">
        <v>455</v>
      </c>
      <c r="R370" s="8" t="s">
        <v>515</v>
      </c>
      <c r="S370" s="18">
        <v>31178</v>
      </c>
      <c r="T370" s="18" t="s">
        <v>519</v>
      </c>
      <c r="U370" s="33">
        <v>46260</v>
      </c>
    </row>
    <row r="371" spans="1:21" ht="15.95" customHeight="1">
      <c r="A371" s="39">
        <v>10</v>
      </c>
      <c r="B371" s="40">
        <v>46188</v>
      </c>
      <c r="C371" s="40" t="s">
        <v>476</v>
      </c>
      <c r="D371" s="40" t="s">
        <v>339</v>
      </c>
      <c r="E371" s="49" t="s">
        <v>113</v>
      </c>
      <c r="F371" s="41" t="s">
        <v>182</v>
      </c>
      <c r="G371" s="41" t="s">
        <v>241</v>
      </c>
      <c r="H371" s="41" t="s">
        <v>479</v>
      </c>
      <c r="I371" s="46" t="s">
        <v>42</v>
      </c>
      <c r="J371" s="46" t="str">
        <f>VLOOKUP(I371,'DESCRICAO PRODUTO'!$A:$C,2,0)</f>
        <v>CAIXA AMPLIFICADA CM-400 BIVOLT .</v>
      </c>
      <c r="K371" s="41" t="s">
        <v>492</v>
      </c>
      <c r="L371" s="38">
        <v>120</v>
      </c>
      <c r="M371" s="58">
        <v>120</v>
      </c>
      <c r="N371" s="51">
        <f t="shared" si="5"/>
        <v>0</v>
      </c>
      <c r="O371" s="40">
        <v>46241</v>
      </c>
      <c r="P371" s="40">
        <v>46245</v>
      </c>
      <c r="Q371" s="34" t="s">
        <v>455</v>
      </c>
      <c r="R371" s="8" t="s">
        <v>515</v>
      </c>
      <c r="S371" s="18">
        <v>31178</v>
      </c>
      <c r="T371" s="18" t="s">
        <v>519</v>
      </c>
      <c r="U371" s="33">
        <v>46260</v>
      </c>
    </row>
    <row r="372" spans="1:21" ht="15.95" customHeight="1">
      <c r="A372" s="39">
        <v>10</v>
      </c>
      <c r="B372" s="40">
        <v>46188</v>
      </c>
      <c r="C372" s="40" t="s">
        <v>476</v>
      </c>
      <c r="D372" s="40" t="s">
        <v>339</v>
      </c>
      <c r="E372" s="49" t="s">
        <v>194</v>
      </c>
      <c r="F372" s="41" t="s">
        <v>195</v>
      </c>
      <c r="G372" s="41" t="s">
        <v>241</v>
      </c>
      <c r="H372" s="41" t="s">
        <v>480</v>
      </c>
      <c r="I372" s="46" t="s">
        <v>48</v>
      </c>
      <c r="J372" s="46" t="str">
        <f>VLOOKUP(I372,'DESCRICAO PRODUTO'!$A:$C,2,0)</f>
        <v>CAIXA AMPLIFICADA CM-250 BIVOLT .</v>
      </c>
      <c r="K372" s="41" t="str">
        <f>VLOOKUP(I372,'DESCRICAO PRODUTO'!$A:$C,3,0)</f>
        <v>CM 250</v>
      </c>
      <c r="L372" s="38">
        <f>1384-1270</f>
        <v>114</v>
      </c>
      <c r="M372" s="58"/>
      <c r="N372" s="51">
        <f t="shared" si="5"/>
        <v>-114</v>
      </c>
      <c r="O372" s="40"/>
      <c r="P372" s="40"/>
      <c r="Q372" s="34" t="s">
        <v>4</v>
      </c>
      <c r="R372" s="18" t="s">
        <v>549</v>
      </c>
      <c r="S372" s="18"/>
      <c r="T372" s="18"/>
      <c r="U372" s="33"/>
    </row>
    <row r="373" spans="1:21" ht="15.95" customHeight="1">
      <c r="A373" s="39">
        <v>10</v>
      </c>
      <c r="B373" s="40">
        <v>46188</v>
      </c>
      <c r="C373" s="40" t="s">
        <v>476</v>
      </c>
      <c r="D373" s="40" t="s">
        <v>339</v>
      </c>
      <c r="E373" s="49" t="s">
        <v>194</v>
      </c>
      <c r="F373" s="41" t="s">
        <v>195</v>
      </c>
      <c r="G373" s="61" t="s">
        <v>241</v>
      </c>
      <c r="H373" s="41" t="s">
        <v>480</v>
      </c>
      <c r="I373" s="46" t="s">
        <v>48</v>
      </c>
      <c r="J373" s="46" t="str">
        <f>VLOOKUP(I373,'DESCRICAO PRODUTO'!$A:$C,2,0)</f>
        <v>CAIXA AMPLIFICADA CM-250 BIVOLT .</v>
      </c>
      <c r="K373" s="41" t="str">
        <f>VLOOKUP(I373,'DESCRICAO PRODUTO'!$A:$C,3,0)</f>
        <v>CM 250</v>
      </c>
      <c r="L373" s="38">
        <f>1384-114</f>
        <v>1270</v>
      </c>
      <c r="M373" s="58">
        <v>1270</v>
      </c>
      <c r="N373" s="51">
        <f t="shared" si="5"/>
        <v>0</v>
      </c>
      <c r="O373" s="40">
        <v>46252</v>
      </c>
      <c r="P373" s="40">
        <v>46253</v>
      </c>
      <c r="Q373" s="34" t="s">
        <v>455</v>
      </c>
      <c r="R373" s="8" t="s">
        <v>533</v>
      </c>
      <c r="S373" s="18">
        <v>31204</v>
      </c>
      <c r="T373" s="18" t="s">
        <v>559</v>
      </c>
      <c r="U373" s="33">
        <v>46269</v>
      </c>
    </row>
    <row r="374" spans="1:21" ht="15.95" customHeight="1">
      <c r="A374" s="39">
        <v>10</v>
      </c>
      <c r="B374" s="40">
        <v>46188</v>
      </c>
      <c r="C374" s="40" t="s">
        <v>476</v>
      </c>
      <c r="D374" s="40" t="s">
        <v>339</v>
      </c>
      <c r="E374" s="49" t="s">
        <v>331</v>
      </c>
      <c r="F374" s="41" t="s">
        <v>334</v>
      </c>
      <c r="G374" s="41" t="s">
        <v>241</v>
      </c>
      <c r="H374" s="41" t="s">
        <v>480</v>
      </c>
      <c r="I374" s="46" t="s">
        <v>200</v>
      </c>
      <c r="J374" s="46" t="str">
        <f>VLOOKUP(I374,'DESCRICAO PRODUTO'!$A:$C,2,0)</f>
        <v>CAIXA AMPLIFICADA CM-400-L BIVOLT .</v>
      </c>
      <c r="K374" s="41" t="str">
        <f>VLOOKUP(I374,'DESCRICAO PRODUTO'!$A:$C,3,0)</f>
        <v>CM 400L</v>
      </c>
      <c r="L374" s="38">
        <v>996</v>
      </c>
      <c r="M374" s="58"/>
      <c r="N374" s="51">
        <f t="shared" si="5"/>
        <v>-996</v>
      </c>
      <c r="O374" s="40"/>
      <c r="P374" s="40"/>
      <c r="Q374" s="34" t="s">
        <v>4</v>
      </c>
      <c r="R374" s="18" t="s">
        <v>549</v>
      </c>
      <c r="S374" s="18"/>
      <c r="T374" s="18"/>
      <c r="U374" s="33"/>
    </row>
    <row r="375" spans="1:21" ht="15.95" customHeight="1">
      <c r="A375" s="39">
        <v>10</v>
      </c>
      <c r="B375" s="40">
        <v>46188</v>
      </c>
      <c r="C375" s="40" t="s">
        <v>476</v>
      </c>
      <c r="D375" s="40" t="s">
        <v>339</v>
      </c>
      <c r="E375" s="49" t="s">
        <v>161</v>
      </c>
      <c r="F375" s="41" t="s">
        <v>192</v>
      </c>
      <c r="G375" s="41" t="s">
        <v>241</v>
      </c>
      <c r="H375" s="41" t="s">
        <v>479</v>
      </c>
      <c r="I375" s="46" t="s">
        <v>160</v>
      </c>
      <c r="J375" s="46" t="str">
        <f>VLOOKUP(I375,'DESCRICAO PRODUTO'!$A:$C,2,0)</f>
        <v>TORRE DE SOM TM2200 BIV</v>
      </c>
      <c r="K375" s="41" t="str">
        <f>VLOOKUP(I375,'DESCRICAO PRODUTO'!$A:$C,3,0)</f>
        <v>TM2200</v>
      </c>
      <c r="L375" s="38">
        <v>10</v>
      </c>
      <c r="M375" s="58"/>
      <c r="N375" s="51">
        <f t="shared" si="5"/>
        <v>-10</v>
      </c>
      <c r="O375" s="40">
        <v>46232</v>
      </c>
      <c r="P375" s="40">
        <v>46258</v>
      </c>
      <c r="Q375" s="34" t="s">
        <v>505</v>
      </c>
      <c r="R375" s="18" t="s">
        <v>548</v>
      </c>
      <c r="S375" s="18"/>
      <c r="T375" s="18"/>
      <c r="U375" s="33"/>
    </row>
    <row r="376" spans="1:21" ht="15.95" customHeight="1">
      <c r="A376" s="39">
        <v>10</v>
      </c>
      <c r="B376" s="40">
        <v>46188</v>
      </c>
      <c r="C376" s="40" t="s">
        <v>476</v>
      </c>
      <c r="D376" s="40" t="s">
        <v>339</v>
      </c>
      <c r="E376" s="49" t="s">
        <v>202</v>
      </c>
      <c r="F376" s="41" t="s">
        <v>203</v>
      </c>
      <c r="G376" s="41" t="s">
        <v>233</v>
      </c>
      <c r="H376" s="41" t="s">
        <v>481</v>
      </c>
      <c r="I376" s="46" t="s">
        <v>160</v>
      </c>
      <c r="J376" s="46" t="str">
        <f>VLOOKUP(I376,'DESCRICAO PRODUTO'!$A:$C,2,0)</f>
        <v>TORRE DE SOM TM2200 BIV</v>
      </c>
      <c r="K376" s="41" t="str">
        <f>VLOOKUP(I376,'DESCRICAO PRODUTO'!$A:$C,3,0)</f>
        <v>TM2200</v>
      </c>
      <c r="L376" s="38">
        <v>20</v>
      </c>
      <c r="M376" s="58"/>
      <c r="N376" s="51">
        <f t="shared" si="5"/>
        <v>-20</v>
      </c>
      <c r="O376" s="40">
        <v>46232</v>
      </c>
      <c r="P376" s="40">
        <v>46258</v>
      </c>
      <c r="Q376" s="34" t="s">
        <v>505</v>
      </c>
      <c r="R376" s="18" t="s">
        <v>548</v>
      </c>
      <c r="S376" s="18"/>
      <c r="T376" s="18"/>
      <c r="U376" s="33"/>
    </row>
    <row r="377" spans="1:21" ht="15.95" customHeight="1">
      <c r="A377" s="39">
        <v>10</v>
      </c>
      <c r="B377" s="40">
        <v>46188</v>
      </c>
      <c r="C377" s="40" t="s">
        <v>476</v>
      </c>
      <c r="D377" s="40" t="s">
        <v>339</v>
      </c>
      <c r="E377" s="49" t="s">
        <v>124</v>
      </c>
      <c r="F377" s="41" t="s">
        <v>39</v>
      </c>
      <c r="G377" s="41" t="s">
        <v>241</v>
      </c>
      <c r="H377" s="41" t="s">
        <v>479</v>
      </c>
      <c r="I377" s="46" t="s">
        <v>50</v>
      </c>
      <c r="J377" s="46" t="str">
        <f>VLOOKUP(I377,'DESCRICAO PRODUTO'!$A:$C,2,0)</f>
        <v>CAIXA AMPLIFICADA CM-550 BIVOLT .</v>
      </c>
      <c r="K377" s="41" t="str">
        <f>VLOOKUP(I377,'DESCRICAO PRODUTO'!$A:$C,3,0)</f>
        <v>CM 550</v>
      </c>
      <c r="L377" s="38">
        <v>180</v>
      </c>
      <c r="M377" s="58"/>
      <c r="N377" s="51">
        <f t="shared" si="5"/>
        <v>-180</v>
      </c>
      <c r="O377" s="40"/>
      <c r="P377" s="40"/>
      <c r="Q377" s="34" t="s">
        <v>4</v>
      </c>
      <c r="R377" s="18" t="s">
        <v>549</v>
      </c>
      <c r="S377" s="18"/>
      <c r="T377" s="18"/>
      <c r="U377" s="33"/>
    </row>
    <row r="378" spans="1:21" ht="15.95" customHeight="1">
      <c r="A378" s="39">
        <v>10</v>
      </c>
      <c r="B378" s="40">
        <v>46188</v>
      </c>
      <c r="C378" s="40" t="s">
        <v>476</v>
      </c>
      <c r="D378" s="60" t="s">
        <v>339</v>
      </c>
      <c r="E378" s="49" t="s">
        <v>509</v>
      </c>
      <c r="F378" s="41" t="s">
        <v>33</v>
      </c>
      <c r="G378" s="41" t="s">
        <v>241</v>
      </c>
      <c r="H378" s="41" t="s">
        <v>479</v>
      </c>
      <c r="I378" s="46" t="s">
        <v>24</v>
      </c>
      <c r="J378" s="46" t="str">
        <f>VLOOKUP(I378,'DESCRICAO PRODUTO'!$A:$C,2,0)</f>
        <v>BOOMBOX AWS-BBS-01-B BIVOLT</v>
      </c>
      <c r="K378" s="41" t="str">
        <f>VLOOKUP(I378,'DESCRICAO PRODUTO'!$A:$C,3,0)</f>
        <v>BBS PRETO</v>
      </c>
      <c r="L378" s="38">
        <v>478</v>
      </c>
      <c r="M378" s="58">
        <v>478</v>
      </c>
      <c r="N378" s="51">
        <f t="shared" si="5"/>
        <v>0</v>
      </c>
      <c r="O378" s="40">
        <v>46241</v>
      </c>
      <c r="P378" s="40">
        <v>46247</v>
      </c>
      <c r="Q378" s="34" t="s">
        <v>455</v>
      </c>
      <c r="R378" s="8" t="s">
        <v>524</v>
      </c>
      <c r="S378" s="18">
        <v>31192</v>
      </c>
      <c r="T378" s="18" t="s">
        <v>531</v>
      </c>
      <c r="U378" s="33">
        <v>46262</v>
      </c>
    </row>
    <row r="379" spans="1:21" ht="15.95" customHeight="1">
      <c r="A379" s="39">
        <v>10</v>
      </c>
      <c r="B379" s="40">
        <v>46188</v>
      </c>
      <c r="C379" s="40" t="s">
        <v>476</v>
      </c>
      <c r="D379" s="40" t="s">
        <v>339</v>
      </c>
      <c r="E379" s="49" t="s">
        <v>15</v>
      </c>
      <c r="F379" s="41" t="s">
        <v>16</v>
      </c>
      <c r="G379" s="41" t="s">
        <v>233</v>
      </c>
      <c r="H379" s="41" t="s">
        <v>481</v>
      </c>
      <c r="I379" s="46" t="s">
        <v>10</v>
      </c>
      <c r="J379" s="46" t="str">
        <f>VLOOKUP(I379,'DESCRICAO PRODUTO'!$A:$C,2,0)</f>
        <v>TORRE DE SOM AWS-T2W-02 BIVOLT BLUETOOTH</v>
      </c>
      <c r="K379" s="41" t="str">
        <f>VLOOKUP(I379,'DESCRICAO PRODUTO'!$A:$C,3,0)</f>
        <v>T2W</v>
      </c>
      <c r="L379" s="38">
        <v>250</v>
      </c>
      <c r="M379" s="58">
        <v>250</v>
      </c>
      <c r="N379" s="51">
        <f t="shared" si="5"/>
        <v>0</v>
      </c>
      <c r="O379" s="40">
        <v>46252</v>
      </c>
      <c r="P379" s="40">
        <v>46253</v>
      </c>
      <c r="Q379" s="34" t="s">
        <v>455</v>
      </c>
      <c r="R379" s="8" t="s">
        <v>540</v>
      </c>
      <c r="S379" s="18">
        <v>31241</v>
      </c>
      <c r="T379" s="18" t="s">
        <v>559</v>
      </c>
      <c r="U379" s="33">
        <v>46269</v>
      </c>
    </row>
    <row r="380" spans="1:21" ht="15.95" customHeight="1">
      <c r="A380" s="39">
        <v>10</v>
      </c>
      <c r="B380" s="40">
        <v>46188</v>
      </c>
      <c r="C380" s="40" t="s">
        <v>476</v>
      </c>
      <c r="D380" s="40" t="s">
        <v>339</v>
      </c>
      <c r="E380" s="49" t="s">
        <v>8</v>
      </c>
      <c r="F380" s="41" t="s">
        <v>9</v>
      </c>
      <c r="G380" s="41" t="s">
        <v>241</v>
      </c>
      <c r="H380" s="41" t="s">
        <v>479</v>
      </c>
      <c r="I380" s="46" t="s">
        <v>10</v>
      </c>
      <c r="J380" s="46" t="str">
        <f>VLOOKUP(I380,'DESCRICAO PRODUTO'!$A:$C,2,0)</f>
        <v>TORRE DE SOM AWS-T2W-02 BIVOLT BLUETOOTH</v>
      </c>
      <c r="K380" s="41" t="str">
        <f>VLOOKUP(I380,'DESCRICAO PRODUTO'!$A:$C,3,0)</f>
        <v>T2W</v>
      </c>
      <c r="L380" s="38">
        <v>125</v>
      </c>
      <c r="M380" s="58">
        <v>125</v>
      </c>
      <c r="N380" s="51">
        <f t="shared" si="5"/>
        <v>0</v>
      </c>
      <c r="O380" s="40">
        <v>46252</v>
      </c>
      <c r="P380" s="40">
        <v>46253</v>
      </c>
      <c r="Q380" s="34" t="s">
        <v>455</v>
      </c>
      <c r="R380" s="8" t="s">
        <v>540</v>
      </c>
      <c r="S380" s="18">
        <v>31241</v>
      </c>
      <c r="T380" s="18" t="s">
        <v>559</v>
      </c>
      <c r="U380" s="33">
        <v>46269</v>
      </c>
    </row>
    <row r="381" spans="1:21" ht="15.95" customHeight="1">
      <c r="A381" s="39">
        <v>10</v>
      </c>
      <c r="B381" s="40">
        <v>46188</v>
      </c>
      <c r="C381" s="40" t="s">
        <v>476</v>
      </c>
      <c r="D381" s="40" t="s">
        <v>339</v>
      </c>
      <c r="E381" s="49" t="s">
        <v>235</v>
      </c>
      <c r="F381" s="41" t="s">
        <v>188</v>
      </c>
      <c r="G381" s="41" t="s">
        <v>241</v>
      </c>
      <c r="H381" s="41" t="s">
        <v>479</v>
      </c>
      <c r="I381" s="46" t="s">
        <v>139</v>
      </c>
      <c r="J381" s="62" t="str">
        <f>VLOOKUP(I381,'DESCRICAO PRODUTO'!$A:$C,2,0)</f>
        <v>TV 50 ANDROID BORD INF AWS-TV-50-BL-02-A</v>
      </c>
      <c r="K381" s="41" t="str">
        <f>VLOOKUP(I381,'DESCRICAO PRODUTO'!$A:$C,3,0)</f>
        <v>TV 50 ANDROID</v>
      </c>
      <c r="L381" s="38">
        <v>108</v>
      </c>
      <c r="M381" s="58"/>
      <c r="N381" s="51">
        <f t="shared" si="5"/>
        <v>-108</v>
      </c>
      <c r="O381" s="40"/>
      <c r="P381" s="40">
        <v>46258</v>
      </c>
      <c r="Q381" s="34" t="s">
        <v>505</v>
      </c>
      <c r="R381" s="18" t="s">
        <v>558</v>
      </c>
      <c r="S381" s="18"/>
      <c r="T381" s="18"/>
      <c r="U381" s="33"/>
    </row>
    <row r="382" spans="1:21" ht="15.95" customHeight="1">
      <c r="A382" s="39">
        <v>10</v>
      </c>
      <c r="B382" s="40">
        <v>46188</v>
      </c>
      <c r="C382" s="40" t="s">
        <v>476</v>
      </c>
      <c r="D382" s="40" t="s">
        <v>339</v>
      </c>
      <c r="E382" s="49" t="s">
        <v>219</v>
      </c>
      <c r="F382" s="41" t="s">
        <v>498</v>
      </c>
      <c r="G382" s="41" t="s">
        <v>241</v>
      </c>
      <c r="H382" s="41" t="s">
        <v>480</v>
      </c>
      <c r="I382" s="46" t="s">
        <v>70</v>
      </c>
      <c r="J382" s="46" t="str">
        <f>VLOOKUP(I382,'DESCRICAO PRODUTO'!$A:$C,2,0)</f>
        <v>CAIXA AMPLIFICADA CM-150 BIVOLT .</v>
      </c>
      <c r="K382" s="41" t="str">
        <f>VLOOKUP(I382,'DESCRICAO PRODUTO'!$A:$C,3,0)</f>
        <v>CM150</v>
      </c>
      <c r="L382" s="38">
        <v>216</v>
      </c>
      <c r="M382" s="58"/>
      <c r="N382" s="51">
        <f t="shared" si="5"/>
        <v>-216</v>
      </c>
      <c r="O382" s="40"/>
      <c r="P382" s="40"/>
      <c r="Q382" s="34" t="s">
        <v>4</v>
      </c>
      <c r="R382" s="18" t="s">
        <v>549</v>
      </c>
      <c r="S382" s="18"/>
      <c r="T382" s="18"/>
      <c r="U382" s="33"/>
    </row>
    <row r="383" spans="1:21" ht="15.95" customHeight="1">
      <c r="A383" s="39">
        <v>10</v>
      </c>
      <c r="B383" s="40">
        <v>46188</v>
      </c>
      <c r="C383" s="40" t="s">
        <v>476</v>
      </c>
      <c r="D383" s="40" t="s">
        <v>339</v>
      </c>
      <c r="E383" s="49" t="s">
        <v>219</v>
      </c>
      <c r="F383" s="41" t="s">
        <v>498</v>
      </c>
      <c r="G383" s="61" t="s">
        <v>241</v>
      </c>
      <c r="H383" s="41" t="s">
        <v>480</v>
      </c>
      <c r="I383" s="46" t="s">
        <v>25</v>
      </c>
      <c r="J383" s="46" t="str">
        <f>VLOOKUP(I383,'DESCRICAO PRODUTO'!$A:$C,2,0)</f>
        <v>CAIXA AMPLIFICADA CM-150 BIVOLT .</v>
      </c>
      <c r="K383" s="41" t="str">
        <f>VLOOKUP(I383,'DESCRICAO PRODUTO'!$A:$C,3,0)</f>
        <v>CM150</v>
      </c>
      <c r="L383" s="38">
        <f>2500-1110</f>
        <v>1390</v>
      </c>
      <c r="M383" s="58">
        <v>1390</v>
      </c>
      <c r="N383" s="51">
        <f t="shared" si="5"/>
        <v>0</v>
      </c>
      <c r="O383" s="40">
        <v>46252</v>
      </c>
      <c r="P383" s="40">
        <v>46253</v>
      </c>
      <c r="Q383" s="34" t="s">
        <v>455</v>
      </c>
      <c r="R383" s="8" t="s">
        <v>533</v>
      </c>
      <c r="S383" s="18">
        <v>31204</v>
      </c>
      <c r="T383" s="18" t="s">
        <v>559</v>
      </c>
      <c r="U383" s="33">
        <v>46269</v>
      </c>
    </row>
    <row r="384" spans="1:21" ht="15.95" customHeight="1">
      <c r="A384" s="39">
        <v>10</v>
      </c>
      <c r="B384" s="40">
        <v>46188</v>
      </c>
      <c r="C384" s="40" t="s">
        <v>476</v>
      </c>
      <c r="D384" s="40" t="s">
        <v>339</v>
      </c>
      <c r="E384" s="49" t="s">
        <v>219</v>
      </c>
      <c r="F384" s="41" t="s">
        <v>498</v>
      </c>
      <c r="G384" s="41" t="s">
        <v>241</v>
      </c>
      <c r="H384" s="41" t="s">
        <v>480</v>
      </c>
      <c r="I384" s="46" t="s">
        <v>25</v>
      </c>
      <c r="J384" s="46" t="str">
        <f>VLOOKUP(I384,'DESCRICAO PRODUTO'!$A:$C,2,0)</f>
        <v>CAIXA AMPLIFICADA CM-150 BIVOLT .</v>
      </c>
      <c r="K384" s="41" t="str">
        <f>VLOOKUP(I384,'DESCRICAO PRODUTO'!$A:$C,3,0)</f>
        <v>CM150</v>
      </c>
      <c r="L384" s="38">
        <f>2500-1390</f>
        <v>1110</v>
      </c>
      <c r="M384" s="58"/>
      <c r="N384" s="51">
        <f t="shared" si="5"/>
        <v>-1110</v>
      </c>
      <c r="O384" s="40"/>
      <c r="P384" s="40"/>
      <c r="Q384" s="34" t="s">
        <v>4</v>
      </c>
      <c r="R384" s="18" t="s">
        <v>549</v>
      </c>
      <c r="S384" s="18"/>
      <c r="T384" s="18"/>
      <c r="U384" s="33"/>
    </row>
    <row r="385" spans="1:21" ht="15.95" customHeight="1">
      <c r="A385" s="39">
        <v>10</v>
      </c>
      <c r="B385" s="40">
        <v>46188</v>
      </c>
      <c r="C385" s="40" t="s">
        <v>476</v>
      </c>
      <c r="D385" s="40" t="s">
        <v>339</v>
      </c>
      <c r="E385" s="49" t="s">
        <v>236</v>
      </c>
      <c r="F385" s="41" t="s">
        <v>38</v>
      </c>
      <c r="G385" s="41" t="s">
        <v>241</v>
      </c>
      <c r="H385" s="41" t="s">
        <v>479</v>
      </c>
      <c r="I385" s="46" t="s">
        <v>26</v>
      </c>
      <c r="J385" s="46" t="str">
        <f>VLOOKUP(I385,'DESCRICAO PRODUTO'!$A:$C,2,0)</f>
        <v>TV 55 ANDROID AWS-TV-55-BL-01</v>
      </c>
      <c r="K385" s="41" t="str">
        <f>VLOOKUP(I385,'DESCRICAO PRODUTO'!$A:$C,3,0)</f>
        <v>TV 55 ANDROID</v>
      </c>
      <c r="L385" s="38">
        <v>20</v>
      </c>
      <c r="M385" s="58"/>
      <c r="N385" s="51">
        <f t="shared" si="5"/>
        <v>-20</v>
      </c>
      <c r="O385" s="40">
        <v>46252</v>
      </c>
      <c r="P385" s="40">
        <v>46258</v>
      </c>
      <c r="Q385" s="34" t="s">
        <v>505</v>
      </c>
      <c r="R385" s="55" t="s">
        <v>548</v>
      </c>
      <c r="S385" s="18"/>
      <c r="T385" s="18"/>
      <c r="U385" s="33"/>
    </row>
    <row r="386" spans="1:21" ht="15.95" customHeight="1">
      <c r="A386" s="39">
        <v>10</v>
      </c>
      <c r="B386" s="40">
        <v>46188</v>
      </c>
      <c r="C386" s="40" t="s">
        <v>476</v>
      </c>
      <c r="D386" s="40" t="s">
        <v>339</v>
      </c>
      <c r="E386" s="49" t="s">
        <v>317</v>
      </c>
      <c r="F386" s="41" t="s">
        <v>184</v>
      </c>
      <c r="G386" s="41" t="s">
        <v>241</v>
      </c>
      <c r="H386" s="41" t="s">
        <v>479</v>
      </c>
      <c r="I386" s="46" t="s">
        <v>90</v>
      </c>
      <c r="J386" s="46" t="str">
        <f>VLOOKUP(I386,'DESCRICAO PRODUTO'!$A:$C,2,0)</f>
        <v>TV 32 ANDROID BORD INF AWS-TV-32-BL-02-A</v>
      </c>
      <c r="K386" s="41" t="str">
        <f>VLOOKUP(I386,'DESCRICAO PRODUTO'!$A:$C,3,0)</f>
        <v>TV 32 ANDROID</v>
      </c>
      <c r="L386" s="38">
        <f>1111-790</f>
        <v>321</v>
      </c>
      <c r="M386" s="58"/>
      <c r="N386" s="51">
        <f t="shared" ref="N386:N449" si="6">M386-L386</f>
        <v>-321</v>
      </c>
      <c r="O386" s="40">
        <v>46253</v>
      </c>
      <c r="P386" s="40">
        <v>46258</v>
      </c>
      <c r="Q386" s="34" t="s">
        <v>505</v>
      </c>
      <c r="R386" s="8" t="s">
        <v>548</v>
      </c>
      <c r="S386" s="18"/>
      <c r="T386" s="18"/>
      <c r="U386" s="33"/>
    </row>
    <row r="387" spans="1:21" ht="15.95" customHeight="1">
      <c r="A387" s="39">
        <v>10</v>
      </c>
      <c r="B387" s="40">
        <v>46188</v>
      </c>
      <c r="C387" s="40" t="s">
        <v>476</v>
      </c>
      <c r="D387" s="40" t="s">
        <v>339</v>
      </c>
      <c r="E387" s="49" t="s">
        <v>317</v>
      </c>
      <c r="F387" s="41" t="s">
        <v>184</v>
      </c>
      <c r="G387" s="41" t="s">
        <v>241</v>
      </c>
      <c r="H387" s="41" t="s">
        <v>479</v>
      </c>
      <c r="I387" s="46" t="s">
        <v>90</v>
      </c>
      <c r="J387" s="46" t="str">
        <f>VLOOKUP(I387,'DESCRICAO PRODUTO'!$A:$C,2,0)</f>
        <v>TV 32 ANDROID BORD INF AWS-TV-32-BL-02-A</v>
      </c>
      <c r="K387" s="41" t="str">
        <f>VLOOKUP(I387,'DESCRICAO PRODUTO'!$A:$C,3,0)</f>
        <v>TV 32 ANDROID</v>
      </c>
      <c r="L387" s="38">
        <v>790</v>
      </c>
      <c r="M387" s="58">
        <v>790</v>
      </c>
      <c r="N387" s="51">
        <f t="shared" si="6"/>
        <v>0</v>
      </c>
      <c r="O387" s="40">
        <v>46241</v>
      </c>
      <c r="P387" s="40">
        <v>46247</v>
      </c>
      <c r="Q387" s="34" t="s">
        <v>455</v>
      </c>
      <c r="R387" s="8" t="s">
        <v>524</v>
      </c>
      <c r="S387" s="18">
        <v>31192</v>
      </c>
      <c r="T387" s="18" t="s">
        <v>531</v>
      </c>
      <c r="U387" s="33">
        <v>46262</v>
      </c>
    </row>
    <row r="388" spans="1:21" ht="15.95" customHeight="1">
      <c r="A388" s="39">
        <v>10</v>
      </c>
      <c r="B388" s="40">
        <v>46188</v>
      </c>
      <c r="C388" s="40" t="s">
        <v>476</v>
      </c>
      <c r="D388" s="40" t="s">
        <v>339</v>
      </c>
      <c r="E388" s="49" t="s">
        <v>330</v>
      </c>
      <c r="F388" s="41" t="s">
        <v>30</v>
      </c>
      <c r="G388" s="41" t="s">
        <v>241</v>
      </c>
      <c r="H388" s="41" t="s">
        <v>479</v>
      </c>
      <c r="I388" s="46" t="s">
        <v>93</v>
      </c>
      <c r="J388" s="46" t="str">
        <f>VLOOKUP(I388,'DESCRICAO PRODUTO'!$A:$C,2,0)</f>
        <v>TV 43 ANDROID BORD INF AWS-TV-43-BL-02-A</v>
      </c>
      <c r="K388" s="41" t="str">
        <f>VLOOKUP(I388,'DESCRICAO PRODUTO'!$A:$C,3,0)</f>
        <v>TV 43 ANDROID</v>
      </c>
      <c r="L388" s="38">
        <v>300</v>
      </c>
      <c r="M388" s="58"/>
      <c r="N388" s="51">
        <f t="shared" si="6"/>
        <v>-300</v>
      </c>
      <c r="O388" s="40">
        <v>46262</v>
      </c>
      <c r="P388" s="40">
        <v>46269</v>
      </c>
      <c r="Q388" s="34" t="s">
        <v>505</v>
      </c>
      <c r="R388" s="18" t="s">
        <v>552</v>
      </c>
      <c r="S388" s="18"/>
      <c r="T388" s="18"/>
      <c r="U388" s="33"/>
    </row>
    <row r="389" spans="1:21" ht="15.95" customHeight="1">
      <c r="A389" s="39">
        <v>10</v>
      </c>
      <c r="B389" s="40">
        <v>46188</v>
      </c>
      <c r="C389" s="40" t="s">
        <v>476</v>
      </c>
      <c r="D389" s="40" t="s">
        <v>339</v>
      </c>
      <c r="E389" s="49" t="s">
        <v>205</v>
      </c>
      <c r="F389" s="41" t="s">
        <v>206</v>
      </c>
      <c r="G389" s="41" t="s">
        <v>241</v>
      </c>
      <c r="H389" s="41" t="s">
        <v>479</v>
      </c>
      <c r="I389" s="46" t="s">
        <v>199</v>
      </c>
      <c r="J389" s="46" t="str">
        <f>VLOOKUP(I389,'DESCRICAO PRODUTO'!$A:$C,2,0)</f>
        <v>CAIXA AMPLIFICADA CM-550-L BIVOLT .</v>
      </c>
      <c r="K389" s="41" t="str">
        <f>VLOOKUP(I389,'DESCRICAO PRODUTO'!$A:$C,3,0)</f>
        <v>CM 550L</v>
      </c>
      <c r="L389" s="38">
        <v>1310</v>
      </c>
      <c r="M389" s="58"/>
      <c r="N389" s="51">
        <f t="shared" si="6"/>
        <v>-1310</v>
      </c>
      <c r="O389" s="40">
        <v>46286</v>
      </c>
      <c r="P389" s="40">
        <v>46286</v>
      </c>
      <c r="Q389" s="34" t="s">
        <v>505</v>
      </c>
      <c r="R389" s="18" t="s">
        <v>554</v>
      </c>
      <c r="S389" s="18"/>
      <c r="T389" s="18"/>
      <c r="U389" s="33"/>
    </row>
    <row r="390" spans="1:21" ht="15.95" customHeight="1">
      <c r="A390" s="39">
        <v>10</v>
      </c>
      <c r="B390" s="40">
        <v>46188</v>
      </c>
      <c r="C390" s="40" t="s">
        <v>476</v>
      </c>
      <c r="D390" s="40" t="s">
        <v>339</v>
      </c>
      <c r="E390" s="49" t="s">
        <v>123</v>
      </c>
      <c r="F390" s="41" t="s">
        <v>183</v>
      </c>
      <c r="G390" s="41" t="s">
        <v>241</v>
      </c>
      <c r="H390" s="41" t="s">
        <v>479</v>
      </c>
      <c r="I390" s="46" t="s">
        <v>86</v>
      </c>
      <c r="J390" s="46" t="str">
        <f>VLOOKUP(I390,'DESCRICAO PRODUTO'!$A:$C,2,0)</f>
        <v>BOOMBOX C/ LUZES AWS-BBS-01-LBL BIVOLT</v>
      </c>
      <c r="K390" s="41" t="str">
        <f>VLOOKUP(I390,'DESCRICAO PRODUTO'!$A:$C,3,0)</f>
        <v>BBS LBL</v>
      </c>
      <c r="L390" s="38">
        <v>5</v>
      </c>
      <c r="M390" s="58"/>
      <c r="N390" s="51">
        <f t="shared" si="6"/>
        <v>-5</v>
      </c>
      <c r="O390" s="40">
        <v>46253</v>
      </c>
      <c r="P390" s="40">
        <v>46258</v>
      </c>
      <c r="Q390" s="34" t="s">
        <v>505</v>
      </c>
      <c r="R390" s="8" t="s">
        <v>548</v>
      </c>
      <c r="S390" s="18"/>
      <c r="T390" s="18"/>
      <c r="U390" s="33"/>
    </row>
    <row r="391" spans="1:21" ht="15.95" customHeight="1">
      <c r="A391" s="39">
        <v>10</v>
      </c>
      <c r="B391" s="40">
        <v>46188</v>
      </c>
      <c r="C391" s="40" t="s">
        <v>476</v>
      </c>
      <c r="D391" s="40" t="s">
        <v>339</v>
      </c>
      <c r="E391" s="49" t="s">
        <v>449</v>
      </c>
      <c r="F391" s="41" t="s">
        <v>451</v>
      </c>
      <c r="G391" s="41" t="s">
        <v>233</v>
      </c>
      <c r="H391" s="41" t="s">
        <v>481</v>
      </c>
      <c r="I391" s="46" t="s">
        <v>23</v>
      </c>
      <c r="J391" s="46" t="str">
        <f>VLOOKUP(I391,'DESCRICAO PRODUTO'!$A:$C,2,0)</f>
        <v>CAIXA AMPLIFICADA CM-700 BIVOLT .</v>
      </c>
      <c r="K391" s="41" t="str">
        <f>VLOOKUP(I391,'DESCRICAO PRODUTO'!$A:$C,3,0)</f>
        <v>CM 700</v>
      </c>
      <c r="L391" s="38">
        <v>265</v>
      </c>
      <c r="M391" s="58"/>
      <c r="N391" s="51">
        <f t="shared" si="6"/>
        <v>-265</v>
      </c>
      <c r="O391" s="40"/>
      <c r="P391" s="40"/>
      <c r="Q391" s="34" t="s">
        <v>4</v>
      </c>
      <c r="R391" s="18" t="s">
        <v>549</v>
      </c>
      <c r="S391" s="18"/>
      <c r="T391" s="18"/>
      <c r="U391" s="33"/>
    </row>
    <row r="392" spans="1:21" ht="15.95" customHeight="1">
      <c r="A392" s="39">
        <v>10</v>
      </c>
      <c r="B392" s="40">
        <v>46188</v>
      </c>
      <c r="C392" s="40" t="s">
        <v>476</v>
      </c>
      <c r="D392" s="40" t="s">
        <v>339</v>
      </c>
      <c r="E392" s="49" t="s">
        <v>31</v>
      </c>
      <c r="F392" s="41" t="s">
        <v>32</v>
      </c>
      <c r="G392" s="41" t="s">
        <v>241</v>
      </c>
      <c r="H392" s="41" t="s">
        <v>479</v>
      </c>
      <c r="I392" s="46" t="s">
        <v>23</v>
      </c>
      <c r="J392" s="46" t="str">
        <f>VLOOKUP(I392,'DESCRICAO PRODUTO'!$A:$C,2,0)</f>
        <v>CAIXA AMPLIFICADA CM-700 BIVOLT .</v>
      </c>
      <c r="K392" s="41" t="str">
        <f>VLOOKUP(I392,'DESCRICAO PRODUTO'!$A:$C,3,0)</f>
        <v>CM 700</v>
      </c>
      <c r="L392" s="38">
        <v>265</v>
      </c>
      <c r="M392" s="58"/>
      <c r="N392" s="51">
        <f t="shared" si="6"/>
        <v>-265</v>
      </c>
      <c r="O392" s="40"/>
      <c r="P392" s="40"/>
      <c r="Q392" s="34" t="s">
        <v>4</v>
      </c>
      <c r="R392" s="18" t="s">
        <v>549</v>
      </c>
      <c r="S392" s="18"/>
      <c r="T392" s="18"/>
      <c r="U392" s="33"/>
    </row>
    <row r="393" spans="1:21" ht="15.95" customHeight="1">
      <c r="A393" s="39">
        <v>10</v>
      </c>
      <c r="B393" s="40">
        <v>46188</v>
      </c>
      <c r="C393" s="40" t="s">
        <v>476</v>
      </c>
      <c r="D393" s="40" t="s">
        <v>339</v>
      </c>
      <c r="E393" s="49" t="s">
        <v>143</v>
      </c>
      <c r="F393" s="41" t="s">
        <v>237</v>
      </c>
      <c r="G393" s="41" t="s">
        <v>233</v>
      </c>
      <c r="H393" s="41" t="s">
        <v>482</v>
      </c>
      <c r="I393" s="46" t="s">
        <v>20</v>
      </c>
      <c r="J393" s="46" t="str">
        <f>VLOOKUP(I393,'DESCRICAO PRODUTO'!$A:$C,2,0)</f>
        <v>MICRO-ONDAS MO-01-21-B 127V/60HZ</v>
      </c>
      <c r="K393" s="41" t="str">
        <f>VLOOKUP(I393,'DESCRICAO PRODUTO'!$A:$C,3,0)</f>
        <v>MO 21L</v>
      </c>
      <c r="L393" s="38">
        <v>13</v>
      </c>
      <c r="M393" s="58"/>
      <c r="N393" s="51">
        <f t="shared" si="6"/>
        <v>-13</v>
      </c>
      <c r="O393" s="40">
        <v>46265</v>
      </c>
      <c r="P393" s="40">
        <v>46265</v>
      </c>
      <c r="Q393" s="34" t="s">
        <v>505</v>
      </c>
      <c r="R393" s="18" t="s">
        <v>552</v>
      </c>
      <c r="S393" s="18"/>
      <c r="T393" s="18"/>
      <c r="U393" s="33"/>
    </row>
    <row r="394" spans="1:21" ht="15.95" customHeight="1">
      <c r="A394" s="39">
        <v>10</v>
      </c>
      <c r="B394" s="40">
        <v>46188</v>
      </c>
      <c r="C394" s="40" t="s">
        <v>476</v>
      </c>
      <c r="D394" s="40" t="s">
        <v>339</v>
      </c>
      <c r="E394" s="49" t="s">
        <v>144</v>
      </c>
      <c r="F394" s="41" t="s">
        <v>238</v>
      </c>
      <c r="G394" s="41" t="s">
        <v>233</v>
      </c>
      <c r="H394" s="41" t="s">
        <v>482</v>
      </c>
      <c r="I394" s="46" t="s">
        <v>20</v>
      </c>
      <c r="J394" s="46" t="str">
        <f>VLOOKUP(I394,'DESCRICAO PRODUTO'!$A:$C,2,0)</f>
        <v>MICRO-ONDAS MO-01-21-B 127V/60HZ</v>
      </c>
      <c r="K394" s="41" t="str">
        <f>VLOOKUP(I394,'DESCRICAO PRODUTO'!$A:$C,3,0)</f>
        <v>MO 21L</v>
      </c>
      <c r="L394" s="38">
        <v>13</v>
      </c>
      <c r="M394" s="58"/>
      <c r="N394" s="51">
        <f t="shared" si="6"/>
        <v>-13</v>
      </c>
      <c r="O394" s="40">
        <v>46265</v>
      </c>
      <c r="P394" s="40">
        <v>46265</v>
      </c>
      <c r="Q394" s="34" t="s">
        <v>505</v>
      </c>
      <c r="R394" s="18" t="s">
        <v>552</v>
      </c>
      <c r="S394" s="18"/>
      <c r="T394" s="18"/>
      <c r="U394" s="33"/>
    </row>
    <row r="395" spans="1:21" ht="15.95" customHeight="1">
      <c r="A395" s="39">
        <v>10</v>
      </c>
      <c r="B395" s="40">
        <v>46188</v>
      </c>
      <c r="C395" s="40" t="s">
        <v>476</v>
      </c>
      <c r="D395" s="40" t="s">
        <v>339</v>
      </c>
      <c r="E395" s="49" t="s">
        <v>145</v>
      </c>
      <c r="F395" s="41" t="s">
        <v>146</v>
      </c>
      <c r="G395" s="41" t="s">
        <v>233</v>
      </c>
      <c r="H395" s="41" t="s">
        <v>481</v>
      </c>
      <c r="I395" s="46" t="s">
        <v>20</v>
      </c>
      <c r="J395" s="46" t="str">
        <f>VLOOKUP(I395,'DESCRICAO PRODUTO'!$A:$C,2,0)</f>
        <v>MICRO-ONDAS MO-01-21-B 127V/60HZ</v>
      </c>
      <c r="K395" s="41" t="str">
        <f>VLOOKUP(I395,'DESCRICAO PRODUTO'!$A:$C,3,0)</f>
        <v>MO 21L</v>
      </c>
      <c r="L395" s="38">
        <v>13</v>
      </c>
      <c r="M395" s="58">
        <v>13</v>
      </c>
      <c r="N395" s="51">
        <f t="shared" si="6"/>
        <v>0</v>
      </c>
      <c r="O395" s="40">
        <v>46252</v>
      </c>
      <c r="P395" s="40">
        <v>46253</v>
      </c>
      <c r="Q395" s="34" t="s">
        <v>455</v>
      </c>
      <c r="R395" s="18" t="s">
        <v>561</v>
      </c>
      <c r="S395" s="18">
        <v>31245</v>
      </c>
      <c r="T395" s="18" t="s">
        <v>559</v>
      </c>
      <c r="U395" s="33">
        <v>46269</v>
      </c>
    </row>
    <row r="396" spans="1:21" ht="15.95" customHeight="1">
      <c r="A396" s="39">
        <v>10</v>
      </c>
      <c r="B396" s="40">
        <v>46188</v>
      </c>
      <c r="C396" s="40" t="s">
        <v>476</v>
      </c>
      <c r="D396" s="40" t="s">
        <v>339</v>
      </c>
      <c r="E396" s="49" t="s">
        <v>143</v>
      </c>
      <c r="F396" s="41" t="s">
        <v>237</v>
      </c>
      <c r="G396" s="41" t="s">
        <v>233</v>
      </c>
      <c r="H396" s="41" t="s">
        <v>482</v>
      </c>
      <c r="I396" s="46" t="s">
        <v>22</v>
      </c>
      <c r="J396" s="46" t="str">
        <f>VLOOKUP(I396,'DESCRICAO PRODUTO'!$A:$C,2,0)</f>
        <v>MICRO-ONDAS MO-01-21-B 220V/60HZ .</v>
      </c>
      <c r="K396" s="41" t="str">
        <f>VLOOKUP(I396,'DESCRICAO PRODUTO'!$A:$C,3,0)</f>
        <v>MO 21L</v>
      </c>
      <c r="L396" s="38">
        <v>327</v>
      </c>
      <c r="M396" s="58"/>
      <c r="N396" s="51">
        <f t="shared" si="6"/>
        <v>-327</v>
      </c>
      <c r="O396" s="40">
        <v>46265</v>
      </c>
      <c r="P396" s="40">
        <v>46265</v>
      </c>
      <c r="Q396" s="34" t="s">
        <v>505</v>
      </c>
      <c r="R396" s="18" t="s">
        <v>552</v>
      </c>
      <c r="S396" s="18"/>
      <c r="T396" s="18"/>
      <c r="U396" s="33"/>
    </row>
    <row r="397" spans="1:21" ht="15.95" customHeight="1">
      <c r="A397" s="39">
        <v>10</v>
      </c>
      <c r="B397" s="40">
        <v>46188</v>
      </c>
      <c r="C397" s="40" t="s">
        <v>476</v>
      </c>
      <c r="D397" s="40" t="s">
        <v>339</v>
      </c>
      <c r="E397" s="49" t="s">
        <v>144</v>
      </c>
      <c r="F397" s="41" t="s">
        <v>238</v>
      </c>
      <c r="G397" s="41" t="s">
        <v>233</v>
      </c>
      <c r="H397" s="41" t="s">
        <v>482</v>
      </c>
      <c r="I397" s="46" t="s">
        <v>22</v>
      </c>
      <c r="J397" s="46" t="str">
        <f>VLOOKUP(I397,'DESCRICAO PRODUTO'!$A:$C,2,0)</f>
        <v>MICRO-ONDAS MO-01-21-B 220V/60HZ .</v>
      </c>
      <c r="K397" s="41" t="str">
        <f>VLOOKUP(I397,'DESCRICAO PRODUTO'!$A:$C,3,0)</f>
        <v>MO 21L</v>
      </c>
      <c r="L397" s="38">
        <v>327</v>
      </c>
      <c r="M397" s="58"/>
      <c r="N397" s="51">
        <f t="shared" si="6"/>
        <v>-327</v>
      </c>
      <c r="O397" s="40">
        <v>46265</v>
      </c>
      <c r="P397" s="40">
        <v>46265</v>
      </c>
      <c r="Q397" s="34" t="s">
        <v>505</v>
      </c>
      <c r="R397" s="18" t="s">
        <v>552</v>
      </c>
      <c r="S397" s="18"/>
      <c r="T397" s="18"/>
      <c r="U397" s="33"/>
    </row>
    <row r="398" spans="1:21" ht="15.95" customHeight="1">
      <c r="A398" s="39">
        <v>10</v>
      </c>
      <c r="B398" s="40">
        <v>46188</v>
      </c>
      <c r="C398" s="40" t="s">
        <v>476</v>
      </c>
      <c r="D398" s="40" t="s">
        <v>339</v>
      </c>
      <c r="E398" s="49" t="s">
        <v>145</v>
      </c>
      <c r="F398" s="41" t="s">
        <v>146</v>
      </c>
      <c r="G398" s="41" t="s">
        <v>233</v>
      </c>
      <c r="H398" s="41" t="s">
        <v>481</v>
      </c>
      <c r="I398" s="46" t="s">
        <v>22</v>
      </c>
      <c r="J398" s="46" t="str">
        <f>VLOOKUP(I398,'DESCRICAO PRODUTO'!$A:$C,2,0)</f>
        <v>MICRO-ONDAS MO-01-21-B 220V/60HZ .</v>
      </c>
      <c r="K398" s="41" t="str">
        <f>VLOOKUP(I398,'DESCRICAO PRODUTO'!$A:$C,3,0)</f>
        <v>MO 21L</v>
      </c>
      <c r="L398" s="38">
        <v>327</v>
      </c>
      <c r="M398" s="58">
        <v>327</v>
      </c>
      <c r="N398" s="51">
        <f t="shared" si="6"/>
        <v>0</v>
      </c>
      <c r="O398" s="40">
        <v>46252</v>
      </c>
      <c r="P398" s="40">
        <v>46253</v>
      </c>
      <c r="Q398" s="34" t="s">
        <v>455</v>
      </c>
      <c r="R398" s="18" t="s">
        <v>561</v>
      </c>
      <c r="S398" s="18">
        <v>31245</v>
      </c>
      <c r="T398" s="18" t="s">
        <v>559</v>
      </c>
      <c r="U398" s="33">
        <v>46269</v>
      </c>
    </row>
    <row r="399" spans="1:21" ht="15.95" customHeight="1">
      <c r="A399" s="39">
        <v>10</v>
      </c>
      <c r="B399" s="40">
        <v>46188</v>
      </c>
      <c r="C399" s="40" t="s">
        <v>476</v>
      </c>
      <c r="D399" s="40" t="s">
        <v>339</v>
      </c>
      <c r="E399" s="49" t="s">
        <v>143</v>
      </c>
      <c r="F399" s="41" t="s">
        <v>237</v>
      </c>
      <c r="G399" s="41" t="s">
        <v>233</v>
      </c>
      <c r="H399" s="41" t="s">
        <v>482</v>
      </c>
      <c r="I399" s="46" t="s">
        <v>72</v>
      </c>
      <c r="J399" s="46" t="str">
        <f>VLOOKUP(I399,'DESCRICAO PRODUTO'!$A:$C,2,0)</f>
        <v>MICRO-ONDAS MO-01-21-B 127V/60HZ</v>
      </c>
      <c r="K399" s="41" t="str">
        <f>VLOOKUP(I399,'DESCRICAO PRODUTO'!$A:$C,3,0)</f>
        <v>MO 21L</v>
      </c>
      <c r="L399" s="38">
        <v>136</v>
      </c>
      <c r="M399" s="58"/>
      <c r="N399" s="51">
        <f t="shared" si="6"/>
        <v>-136</v>
      </c>
      <c r="O399" s="40">
        <v>46265</v>
      </c>
      <c r="P399" s="40">
        <v>46265</v>
      </c>
      <c r="Q399" s="34" t="s">
        <v>505</v>
      </c>
      <c r="R399" s="18" t="s">
        <v>552</v>
      </c>
      <c r="S399" s="18"/>
      <c r="T399" s="18"/>
      <c r="U399" s="33"/>
    </row>
    <row r="400" spans="1:21" ht="15.95" customHeight="1">
      <c r="A400" s="39">
        <v>10</v>
      </c>
      <c r="B400" s="40">
        <v>46188</v>
      </c>
      <c r="C400" s="40" t="s">
        <v>476</v>
      </c>
      <c r="D400" s="40" t="s">
        <v>339</v>
      </c>
      <c r="E400" s="49" t="s">
        <v>144</v>
      </c>
      <c r="F400" s="41" t="s">
        <v>238</v>
      </c>
      <c r="G400" s="41" t="s">
        <v>233</v>
      </c>
      <c r="H400" s="41" t="s">
        <v>482</v>
      </c>
      <c r="I400" s="46" t="s">
        <v>72</v>
      </c>
      <c r="J400" s="46" t="str">
        <f>VLOOKUP(I400,'DESCRICAO PRODUTO'!$A:$C,2,0)</f>
        <v>MICRO-ONDAS MO-01-21-B 127V/60HZ</v>
      </c>
      <c r="K400" s="41" t="str">
        <f>VLOOKUP(I400,'DESCRICAO PRODUTO'!$A:$C,3,0)</f>
        <v>MO 21L</v>
      </c>
      <c r="L400" s="38">
        <v>136</v>
      </c>
      <c r="M400" s="58"/>
      <c r="N400" s="51">
        <f t="shared" si="6"/>
        <v>-136</v>
      </c>
      <c r="O400" s="40">
        <v>46265</v>
      </c>
      <c r="P400" s="40">
        <v>46265</v>
      </c>
      <c r="Q400" s="34" t="s">
        <v>505</v>
      </c>
      <c r="R400" s="18" t="s">
        <v>552</v>
      </c>
      <c r="S400" s="18"/>
      <c r="T400" s="18"/>
      <c r="U400" s="33"/>
    </row>
    <row r="401" spans="1:21" ht="15.95" customHeight="1">
      <c r="A401" s="39">
        <v>10</v>
      </c>
      <c r="B401" s="40">
        <v>46188</v>
      </c>
      <c r="C401" s="40" t="s">
        <v>476</v>
      </c>
      <c r="D401" s="40" t="s">
        <v>339</v>
      </c>
      <c r="E401" s="49" t="s">
        <v>311</v>
      </c>
      <c r="F401" s="41" t="s">
        <v>146</v>
      </c>
      <c r="G401" s="41" t="s">
        <v>233</v>
      </c>
      <c r="H401" s="41" t="s">
        <v>481</v>
      </c>
      <c r="I401" s="46" t="s">
        <v>72</v>
      </c>
      <c r="J401" s="46" t="str">
        <f>VLOOKUP(I401,'DESCRICAO PRODUTO'!$A:$C,2,0)</f>
        <v>MICRO-ONDAS MO-01-21-B 127V/60HZ</v>
      </c>
      <c r="K401" s="41" t="str">
        <f>VLOOKUP(I401,'DESCRICAO PRODUTO'!$A:$C,3,0)</f>
        <v>MO 21L</v>
      </c>
      <c r="L401" s="38">
        <v>136</v>
      </c>
      <c r="M401" s="58">
        <v>136</v>
      </c>
      <c r="N401" s="51">
        <f t="shared" si="6"/>
        <v>0</v>
      </c>
      <c r="O401" s="40">
        <v>46241</v>
      </c>
      <c r="P401" s="40">
        <v>46247</v>
      </c>
      <c r="Q401" s="34" t="s">
        <v>455</v>
      </c>
      <c r="R401" s="8" t="s">
        <v>524</v>
      </c>
      <c r="S401" s="18">
        <v>31192</v>
      </c>
      <c r="T401" s="18" t="s">
        <v>531</v>
      </c>
      <c r="U401" s="33">
        <v>46262</v>
      </c>
    </row>
    <row r="402" spans="1:21" ht="15.95" customHeight="1">
      <c r="A402" s="39">
        <v>10</v>
      </c>
      <c r="B402" s="40">
        <v>46188</v>
      </c>
      <c r="C402" s="40" t="s">
        <v>476</v>
      </c>
      <c r="D402" s="40" t="s">
        <v>339</v>
      </c>
      <c r="E402" s="49" t="s">
        <v>143</v>
      </c>
      <c r="F402" s="41" t="s">
        <v>237</v>
      </c>
      <c r="G402" s="41" t="s">
        <v>233</v>
      </c>
      <c r="H402" s="41" t="s">
        <v>482</v>
      </c>
      <c r="I402" s="46" t="s">
        <v>19</v>
      </c>
      <c r="J402" s="46" t="str">
        <f>VLOOKUP(I402,'DESCRICAO PRODUTO'!$A:$C,2,0)</f>
        <v>MICRO-ONDAS MO-01-21-W 127V/60HZ .</v>
      </c>
      <c r="K402" s="41" t="str">
        <f>VLOOKUP(I402,'DESCRICAO PRODUTO'!$A:$C,3,0)</f>
        <v>MO 21L</v>
      </c>
      <c r="L402" s="38">
        <v>41</v>
      </c>
      <c r="M402" s="58"/>
      <c r="N402" s="51">
        <f t="shared" si="6"/>
        <v>-41</v>
      </c>
      <c r="O402" s="40">
        <v>46265</v>
      </c>
      <c r="P402" s="40">
        <v>46265</v>
      </c>
      <c r="Q402" s="34" t="s">
        <v>505</v>
      </c>
      <c r="R402" s="18" t="s">
        <v>552</v>
      </c>
      <c r="S402" s="18"/>
      <c r="T402" s="18"/>
      <c r="U402" s="33"/>
    </row>
    <row r="403" spans="1:21" ht="15.95" customHeight="1">
      <c r="A403" s="39">
        <v>10</v>
      </c>
      <c r="B403" s="40">
        <v>46188</v>
      </c>
      <c r="C403" s="40" t="s">
        <v>476</v>
      </c>
      <c r="D403" s="40" t="s">
        <v>339</v>
      </c>
      <c r="E403" s="49" t="s">
        <v>144</v>
      </c>
      <c r="F403" s="41" t="s">
        <v>238</v>
      </c>
      <c r="G403" s="41" t="s">
        <v>233</v>
      </c>
      <c r="H403" s="41" t="s">
        <v>482</v>
      </c>
      <c r="I403" s="46" t="s">
        <v>19</v>
      </c>
      <c r="J403" s="46" t="str">
        <f>VLOOKUP(I403,'DESCRICAO PRODUTO'!$A:$C,2,0)</f>
        <v>MICRO-ONDAS MO-01-21-W 127V/60HZ .</v>
      </c>
      <c r="K403" s="41" t="str">
        <f>VLOOKUP(I403,'DESCRICAO PRODUTO'!$A:$C,3,0)</f>
        <v>MO 21L</v>
      </c>
      <c r="L403" s="38">
        <v>41</v>
      </c>
      <c r="M403" s="58"/>
      <c r="N403" s="51">
        <f t="shared" si="6"/>
        <v>-41</v>
      </c>
      <c r="O403" s="40">
        <v>46265</v>
      </c>
      <c r="P403" s="40">
        <v>46265</v>
      </c>
      <c r="Q403" s="34" t="s">
        <v>505</v>
      </c>
      <c r="R403" s="18" t="s">
        <v>552</v>
      </c>
      <c r="S403" s="18"/>
      <c r="T403" s="18"/>
      <c r="U403" s="33"/>
    </row>
    <row r="404" spans="1:21" ht="15.95" customHeight="1">
      <c r="A404" s="39">
        <v>10</v>
      </c>
      <c r="B404" s="40">
        <v>46188</v>
      </c>
      <c r="C404" s="40" t="s">
        <v>476</v>
      </c>
      <c r="D404" s="40" t="s">
        <v>339</v>
      </c>
      <c r="E404" s="49" t="s">
        <v>152</v>
      </c>
      <c r="F404" s="41" t="s">
        <v>190</v>
      </c>
      <c r="G404" s="41" t="s">
        <v>233</v>
      </c>
      <c r="H404" s="41" t="s">
        <v>481</v>
      </c>
      <c r="I404" s="46" t="s">
        <v>19</v>
      </c>
      <c r="J404" s="46" t="str">
        <f>VLOOKUP(I404,'DESCRICAO PRODUTO'!$A:$C,2,0)</f>
        <v>MICRO-ONDAS MO-01-21-W 127V/60HZ .</v>
      </c>
      <c r="K404" s="41" t="str">
        <f>VLOOKUP(I404,'DESCRICAO PRODUTO'!$A:$C,3,0)</f>
        <v>MO 21L</v>
      </c>
      <c r="L404" s="38">
        <v>41</v>
      </c>
      <c r="M404" s="58"/>
      <c r="N404" s="51">
        <f t="shared" si="6"/>
        <v>-41</v>
      </c>
      <c r="O404" s="40">
        <v>46233</v>
      </c>
      <c r="P404" s="40">
        <v>46258</v>
      </c>
      <c r="Q404" s="34" t="s">
        <v>505</v>
      </c>
      <c r="R404" s="8" t="s">
        <v>537</v>
      </c>
      <c r="S404" s="18"/>
      <c r="T404" s="18"/>
      <c r="U404" s="33"/>
    </row>
    <row r="405" spans="1:21" ht="15.95" customHeight="1">
      <c r="A405" s="39">
        <v>10</v>
      </c>
      <c r="B405" s="40">
        <v>46188</v>
      </c>
      <c r="C405" s="40" t="s">
        <v>476</v>
      </c>
      <c r="D405" s="40" t="s">
        <v>339</v>
      </c>
      <c r="E405" s="49" t="s">
        <v>143</v>
      </c>
      <c r="F405" s="41" t="s">
        <v>237</v>
      </c>
      <c r="G405" s="41" t="s">
        <v>233</v>
      </c>
      <c r="H405" s="41" t="s">
        <v>482</v>
      </c>
      <c r="I405" s="46" t="s">
        <v>73</v>
      </c>
      <c r="J405" s="46" t="str">
        <f>VLOOKUP(I405,'DESCRICAO PRODUTO'!$A:$C,2,0)</f>
        <v>MICRO-ONDAS MO-01-21-W 220V/60HZ</v>
      </c>
      <c r="K405" s="41" t="str">
        <f>VLOOKUP(I405,'DESCRICAO PRODUTO'!$A:$C,3,0)</f>
        <v>MO 21L</v>
      </c>
      <c r="L405" s="38">
        <v>57</v>
      </c>
      <c r="M405" s="58"/>
      <c r="N405" s="51">
        <f t="shared" si="6"/>
        <v>-57</v>
      </c>
      <c r="O405" s="40">
        <v>46265</v>
      </c>
      <c r="P405" s="40">
        <v>46265</v>
      </c>
      <c r="Q405" s="34" t="s">
        <v>505</v>
      </c>
      <c r="R405" s="18" t="s">
        <v>552</v>
      </c>
      <c r="S405" s="18"/>
      <c r="T405" s="18"/>
      <c r="U405" s="33"/>
    </row>
    <row r="406" spans="1:21" ht="15.95" customHeight="1">
      <c r="A406" s="39">
        <v>10</v>
      </c>
      <c r="B406" s="40">
        <v>46188</v>
      </c>
      <c r="C406" s="40" t="s">
        <v>476</v>
      </c>
      <c r="D406" s="40" t="s">
        <v>339</v>
      </c>
      <c r="E406" s="49" t="s">
        <v>144</v>
      </c>
      <c r="F406" s="41" t="s">
        <v>238</v>
      </c>
      <c r="G406" s="41" t="s">
        <v>233</v>
      </c>
      <c r="H406" s="41" t="s">
        <v>482</v>
      </c>
      <c r="I406" s="46" t="s">
        <v>73</v>
      </c>
      <c r="J406" s="46" t="str">
        <f>VLOOKUP(I406,'DESCRICAO PRODUTO'!$A:$C,2,0)</f>
        <v>MICRO-ONDAS MO-01-21-W 220V/60HZ</v>
      </c>
      <c r="K406" s="41" t="str">
        <f>VLOOKUP(I406,'DESCRICAO PRODUTO'!$A:$C,3,0)</f>
        <v>MO 21L</v>
      </c>
      <c r="L406" s="38">
        <v>57</v>
      </c>
      <c r="M406" s="58"/>
      <c r="N406" s="51">
        <f t="shared" si="6"/>
        <v>-57</v>
      </c>
      <c r="O406" s="40">
        <v>46265</v>
      </c>
      <c r="P406" s="40">
        <v>46265</v>
      </c>
      <c r="Q406" s="34" t="s">
        <v>505</v>
      </c>
      <c r="R406" s="18" t="s">
        <v>552</v>
      </c>
      <c r="S406" s="18"/>
      <c r="T406" s="18"/>
      <c r="U406" s="33"/>
    </row>
    <row r="407" spans="1:21" ht="15.95" customHeight="1">
      <c r="A407" s="39">
        <v>10</v>
      </c>
      <c r="B407" s="40">
        <v>46188</v>
      </c>
      <c r="C407" s="40" t="s">
        <v>476</v>
      </c>
      <c r="D407" s="40" t="s">
        <v>339</v>
      </c>
      <c r="E407" s="49" t="s">
        <v>152</v>
      </c>
      <c r="F407" s="41" t="s">
        <v>190</v>
      </c>
      <c r="G407" s="41" t="s">
        <v>233</v>
      </c>
      <c r="H407" s="41" t="s">
        <v>481</v>
      </c>
      <c r="I407" s="46" t="s">
        <v>73</v>
      </c>
      <c r="J407" s="46" t="str">
        <f>VLOOKUP(I407,'DESCRICAO PRODUTO'!$A:$C,2,0)</f>
        <v>MICRO-ONDAS MO-01-21-W 220V/60HZ</v>
      </c>
      <c r="K407" s="41" t="str">
        <f>VLOOKUP(I407,'DESCRICAO PRODUTO'!$A:$C,3,0)</f>
        <v>MO 21L</v>
      </c>
      <c r="L407" s="38">
        <v>57</v>
      </c>
      <c r="M407" s="58"/>
      <c r="N407" s="51">
        <f t="shared" si="6"/>
        <v>-57</v>
      </c>
      <c r="O407" s="40">
        <v>46233</v>
      </c>
      <c r="P407" s="40">
        <v>46258</v>
      </c>
      <c r="Q407" s="34" t="s">
        <v>505</v>
      </c>
      <c r="R407" s="8" t="s">
        <v>537</v>
      </c>
      <c r="S407" s="18"/>
      <c r="T407" s="18"/>
      <c r="U407" s="33"/>
    </row>
    <row r="408" spans="1:21" ht="15.95" customHeight="1">
      <c r="A408" s="39">
        <v>10</v>
      </c>
      <c r="B408" s="40">
        <v>46188</v>
      </c>
      <c r="C408" s="40" t="s">
        <v>476</v>
      </c>
      <c r="D408" s="40" t="s">
        <v>339</v>
      </c>
      <c r="E408" s="49" t="s">
        <v>143</v>
      </c>
      <c r="F408" s="41" t="s">
        <v>237</v>
      </c>
      <c r="G408" s="41" t="s">
        <v>233</v>
      </c>
      <c r="H408" s="41" t="s">
        <v>482</v>
      </c>
      <c r="I408" s="46" t="s">
        <v>75</v>
      </c>
      <c r="J408" s="46" t="str">
        <f>VLOOKUP(I408,'DESCRICAO PRODUTO'!$A:$C,2,0)</f>
        <v>MICRO-ONDAS MO-01-21-W 127V/60HZ .</v>
      </c>
      <c r="K408" s="41" t="str">
        <f>VLOOKUP(I408,'DESCRICAO PRODUTO'!$A:$C,3,0)</f>
        <v>MO 21L</v>
      </c>
      <c r="L408" s="38">
        <v>131</v>
      </c>
      <c r="M408" s="58"/>
      <c r="N408" s="51">
        <f t="shared" si="6"/>
        <v>-131</v>
      </c>
      <c r="O408" s="40">
        <v>46265</v>
      </c>
      <c r="P408" s="40">
        <v>46265</v>
      </c>
      <c r="Q408" s="34" t="s">
        <v>505</v>
      </c>
      <c r="R408" s="18" t="s">
        <v>552</v>
      </c>
      <c r="S408" s="18"/>
      <c r="T408" s="18"/>
      <c r="U408" s="33"/>
    </row>
    <row r="409" spans="1:21" ht="15.95" customHeight="1">
      <c r="A409" s="39">
        <v>10</v>
      </c>
      <c r="B409" s="40">
        <v>46188</v>
      </c>
      <c r="C409" s="40" t="s">
        <v>476</v>
      </c>
      <c r="D409" s="40" t="s">
        <v>339</v>
      </c>
      <c r="E409" s="49" t="s">
        <v>144</v>
      </c>
      <c r="F409" s="41" t="s">
        <v>238</v>
      </c>
      <c r="G409" s="41" t="s">
        <v>233</v>
      </c>
      <c r="H409" s="41" t="s">
        <v>482</v>
      </c>
      <c r="I409" s="46" t="s">
        <v>75</v>
      </c>
      <c r="J409" s="46" t="str">
        <f>VLOOKUP(I409,'DESCRICAO PRODUTO'!$A:$C,2,0)</f>
        <v>MICRO-ONDAS MO-01-21-W 127V/60HZ .</v>
      </c>
      <c r="K409" s="41" t="str">
        <f>VLOOKUP(I409,'DESCRICAO PRODUTO'!$A:$C,3,0)</f>
        <v>MO 21L</v>
      </c>
      <c r="L409" s="38">
        <v>131</v>
      </c>
      <c r="M409" s="58"/>
      <c r="N409" s="51">
        <f t="shared" si="6"/>
        <v>-131</v>
      </c>
      <c r="O409" s="40">
        <v>46265</v>
      </c>
      <c r="P409" s="40">
        <v>46265</v>
      </c>
      <c r="Q409" s="34" t="s">
        <v>505</v>
      </c>
      <c r="R409" s="18" t="s">
        <v>552</v>
      </c>
      <c r="S409" s="18"/>
      <c r="T409" s="18"/>
      <c r="U409" s="33"/>
    </row>
    <row r="410" spans="1:21" ht="15.95" customHeight="1">
      <c r="A410" s="39">
        <v>10</v>
      </c>
      <c r="B410" s="40">
        <v>46188</v>
      </c>
      <c r="C410" s="40" t="s">
        <v>476</v>
      </c>
      <c r="D410" s="40" t="s">
        <v>339</v>
      </c>
      <c r="E410" s="49" t="s">
        <v>312</v>
      </c>
      <c r="F410" s="41" t="s">
        <v>325</v>
      </c>
      <c r="G410" s="41" t="s">
        <v>233</v>
      </c>
      <c r="H410" s="41" t="s">
        <v>481</v>
      </c>
      <c r="I410" s="46" t="s">
        <v>75</v>
      </c>
      <c r="J410" s="46" t="str">
        <f>VLOOKUP(I410,'DESCRICAO PRODUTO'!$A:$C,2,0)</f>
        <v>MICRO-ONDAS MO-01-21-W 127V/60HZ .</v>
      </c>
      <c r="K410" s="41" t="str">
        <f>VLOOKUP(I410,'DESCRICAO PRODUTO'!$A:$C,3,0)</f>
        <v>MO 21L</v>
      </c>
      <c r="L410" s="38">
        <v>131</v>
      </c>
      <c r="M410" s="58"/>
      <c r="N410" s="51">
        <f t="shared" si="6"/>
        <v>-131</v>
      </c>
      <c r="O410" s="40">
        <v>46233</v>
      </c>
      <c r="P410" s="40">
        <v>46258</v>
      </c>
      <c r="Q410" s="34" t="s">
        <v>505</v>
      </c>
      <c r="R410" s="8" t="s">
        <v>537</v>
      </c>
      <c r="S410" s="18"/>
      <c r="T410" s="18"/>
      <c r="U410" s="33"/>
    </row>
    <row r="411" spans="1:21" ht="15.95" customHeight="1">
      <c r="A411" s="39">
        <v>10</v>
      </c>
      <c r="B411" s="40">
        <v>46188</v>
      </c>
      <c r="C411" s="40" t="s">
        <v>476</v>
      </c>
      <c r="D411" s="40" t="s">
        <v>339</v>
      </c>
      <c r="E411" s="49" t="s">
        <v>511</v>
      </c>
      <c r="F411" s="41" t="s">
        <v>201</v>
      </c>
      <c r="G411" s="41" t="s">
        <v>233</v>
      </c>
      <c r="H411" s="41" t="s">
        <v>482</v>
      </c>
      <c r="I411" s="46" t="s">
        <v>18</v>
      </c>
      <c r="J411" s="46" t="str">
        <f>VLOOKUP(I411,'DESCRICAO PRODUTO'!$A:$C,2,0)</f>
        <v>MICRO-ONDAS MO-02-34-W 127V/60HZ .</v>
      </c>
      <c r="K411" s="41" t="str">
        <f>VLOOKUP(I411,'DESCRICAO PRODUTO'!$A:$C,3,0)</f>
        <v>MO 34L</v>
      </c>
      <c r="L411" s="38">
        <v>1</v>
      </c>
      <c r="M411" s="58">
        <v>1</v>
      </c>
      <c r="N411" s="51">
        <f t="shared" si="6"/>
        <v>0</v>
      </c>
      <c r="O411" s="40">
        <v>46241</v>
      </c>
      <c r="P411" s="40">
        <v>46245</v>
      </c>
      <c r="Q411" s="34" t="s">
        <v>455</v>
      </c>
      <c r="R411" s="8" t="s">
        <v>512</v>
      </c>
      <c r="S411" s="18">
        <v>31177</v>
      </c>
      <c r="T411" s="18" t="s">
        <v>518</v>
      </c>
      <c r="U411" s="33">
        <v>46260</v>
      </c>
    </row>
    <row r="412" spans="1:21" ht="15.95" customHeight="1">
      <c r="A412" s="39">
        <v>10</v>
      </c>
      <c r="B412" s="40">
        <v>46188</v>
      </c>
      <c r="C412" s="40" t="s">
        <v>476</v>
      </c>
      <c r="D412" s="40" t="s">
        <v>339</v>
      </c>
      <c r="E412" s="49" t="s">
        <v>510</v>
      </c>
      <c r="F412" s="41" t="s">
        <v>198</v>
      </c>
      <c r="G412" s="41" t="s">
        <v>233</v>
      </c>
      <c r="H412" s="41" t="s">
        <v>482</v>
      </c>
      <c r="I412" s="46" t="s">
        <v>18</v>
      </c>
      <c r="J412" s="46" t="str">
        <f>VLOOKUP(I412,'DESCRICAO PRODUTO'!$A:$C,2,0)</f>
        <v>MICRO-ONDAS MO-02-34-W 127V/60HZ .</v>
      </c>
      <c r="K412" s="41" t="str">
        <f>VLOOKUP(I412,'DESCRICAO PRODUTO'!$A:$C,3,0)</f>
        <v>MO 34L</v>
      </c>
      <c r="L412" s="38">
        <v>1</v>
      </c>
      <c r="M412" s="58">
        <v>1</v>
      </c>
      <c r="N412" s="51">
        <f t="shared" si="6"/>
        <v>0</v>
      </c>
      <c r="O412" s="40">
        <v>46241</v>
      </c>
      <c r="P412" s="40">
        <v>46245</v>
      </c>
      <c r="Q412" s="34" t="s">
        <v>455</v>
      </c>
      <c r="R412" s="8" t="s">
        <v>512</v>
      </c>
      <c r="S412" s="18">
        <v>31177</v>
      </c>
      <c r="T412" s="18" t="s">
        <v>518</v>
      </c>
      <c r="U412" s="33">
        <v>46260</v>
      </c>
    </row>
    <row r="413" spans="1:21" ht="15.95" customHeight="1">
      <c r="A413" s="39">
        <v>10</v>
      </c>
      <c r="B413" s="40">
        <v>46188</v>
      </c>
      <c r="C413" s="40" t="s">
        <v>476</v>
      </c>
      <c r="D413" s="40" t="s">
        <v>339</v>
      </c>
      <c r="E413" s="49" t="s">
        <v>153</v>
      </c>
      <c r="F413" s="41" t="s">
        <v>154</v>
      </c>
      <c r="G413" s="41" t="s">
        <v>233</v>
      </c>
      <c r="H413" s="41" t="s">
        <v>481</v>
      </c>
      <c r="I413" s="46" t="s">
        <v>18</v>
      </c>
      <c r="J413" s="46" t="str">
        <f>VLOOKUP(I413,'DESCRICAO PRODUTO'!$A:$C,2,0)</f>
        <v>MICRO-ONDAS MO-02-34-W 127V/60HZ .</v>
      </c>
      <c r="K413" s="41" t="str">
        <f>VLOOKUP(I413,'DESCRICAO PRODUTO'!$A:$C,3,0)</f>
        <v>MO 34L</v>
      </c>
      <c r="L413" s="38">
        <v>1</v>
      </c>
      <c r="M413" s="58"/>
      <c r="N413" s="51">
        <f t="shared" si="6"/>
        <v>-1</v>
      </c>
      <c r="O413" s="40">
        <v>46233</v>
      </c>
      <c r="P413" s="40">
        <v>46258</v>
      </c>
      <c r="Q413" s="34" t="s">
        <v>505</v>
      </c>
      <c r="R413" s="8" t="s">
        <v>537</v>
      </c>
      <c r="S413" s="18"/>
      <c r="T413" s="18"/>
      <c r="U413" s="33"/>
    </row>
    <row r="414" spans="1:21" ht="15.95" customHeight="1">
      <c r="A414" s="39">
        <v>10</v>
      </c>
      <c r="B414" s="40">
        <v>46188</v>
      </c>
      <c r="C414" s="40" t="s">
        <v>476</v>
      </c>
      <c r="D414" s="40" t="s">
        <v>339</v>
      </c>
      <c r="E414" s="49" t="s">
        <v>511</v>
      </c>
      <c r="F414" s="41" t="s">
        <v>201</v>
      </c>
      <c r="G414" s="41" t="s">
        <v>233</v>
      </c>
      <c r="H414" s="41" t="s">
        <v>482</v>
      </c>
      <c r="I414" s="46" t="s">
        <v>77</v>
      </c>
      <c r="J414" s="46" t="str">
        <f>VLOOKUP(I414,'DESCRICAO PRODUTO'!$A:$C,2,0)</f>
        <v>MICRO-ONDAS MO-02-34-W 127V/60HZ .</v>
      </c>
      <c r="K414" s="41" t="str">
        <f>VLOOKUP(I414,'DESCRICAO PRODUTO'!$A:$C,3,0)</f>
        <v>MO 34L</v>
      </c>
      <c r="L414" s="38">
        <v>8</v>
      </c>
      <c r="M414" s="58">
        <v>8</v>
      </c>
      <c r="N414" s="51">
        <f t="shared" si="6"/>
        <v>0</v>
      </c>
      <c r="O414" s="40">
        <v>46241</v>
      </c>
      <c r="P414" s="40">
        <v>46245</v>
      </c>
      <c r="Q414" s="34" t="s">
        <v>455</v>
      </c>
      <c r="R414" s="8" t="s">
        <v>512</v>
      </c>
      <c r="S414" s="18">
        <v>31177</v>
      </c>
      <c r="T414" s="18" t="s">
        <v>518</v>
      </c>
      <c r="U414" s="33">
        <v>46260</v>
      </c>
    </row>
    <row r="415" spans="1:21" ht="15.95" customHeight="1">
      <c r="A415" s="39">
        <v>10</v>
      </c>
      <c r="B415" s="40">
        <v>46188</v>
      </c>
      <c r="C415" s="40" t="s">
        <v>476</v>
      </c>
      <c r="D415" s="40" t="s">
        <v>339</v>
      </c>
      <c r="E415" s="49" t="s">
        <v>510</v>
      </c>
      <c r="F415" s="41" t="s">
        <v>198</v>
      </c>
      <c r="G415" s="41" t="s">
        <v>233</v>
      </c>
      <c r="H415" s="41" t="s">
        <v>482</v>
      </c>
      <c r="I415" s="46" t="s">
        <v>77</v>
      </c>
      <c r="J415" s="46" t="str">
        <f>VLOOKUP(I415,'DESCRICAO PRODUTO'!$A:$C,2,0)</f>
        <v>MICRO-ONDAS MO-02-34-W 127V/60HZ .</v>
      </c>
      <c r="K415" s="41" t="str">
        <f>VLOOKUP(I415,'DESCRICAO PRODUTO'!$A:$C,3,0)</f>
        <v>MO 34L</v>
      </c>
      <c r="L415" s="38">
        <v>8</v>
      </c>
      <c r="M415" s="58">
        <v>8</v>
      </c>
      <c r="N415" s="51">
        <f t="shared" si="6"/>
        <v>0</v>
      </c>
      <c r="O415" s="40">
        <v>46241</v>
      </c>
      <c r="P415" s="40">
        <v>46245</v>
      </c>
      <c r="Q415" s="34" t="s">
        <v>455</v>
      </c>
      <c r="R415" s="8" t="s">
        <v>512</v>
      </c>
      <c r="S415" s="18">
        <v>31177</v>
      </c>
      <c r="T415" s="18" t="s">
        <v>518</v>
      </c>
      <c r="U415" s="33">
        <v>46260</v>
      </c>
    </row>
    <row r="416" spans="1:21" ht="15.95" customHeight="1">
      <c r="A416" s="39">
        <v>10</v>
      </c>
      <c r="B416" s="40">
        <v>46188</v>
      </c>
      <c r="C416" s="40" t="s">
        <v>476</v>
      </c>
      <c r="D416" s="40" t="s">
        <v>339</v>
      </c>
      <c r="E416" s="49" t="s">
        <v>239</v>
      </c>
      <c r="F416" s="41" t="s">
        <v>154</v>
      </c>
      <c r="G416" s="41" t="s">
        <v>233</v>
      </c>
      <c r="H416" s="41" t="s">
        <v>481</v>
      </c>
      <c r="I416" s="46" t="s">
        <v>77</v>
      </c>
      <c r="J416" s="46" t="str">
        <f>VLOOKUP(I416,'DESCRICAO PRODUTO'!$A:$C,2,0)</f>
        <v>MICRO-ONDAS MO-02-34-W 127V/60HZ .</v>
      </c>
      <c r="K416" s="41" t="str">
        <f>VLOOKUP(I416,'DESCRICAO PRODUTO'!$A:$C,3,0)</f>
        <v>MO 34L</v>
      </c>
      <c r="L416" s="38">
        <v>8</v>
      </c>
      <c r="M416" s="58"/>
      <c r="N416" s="51">
        <f t="shared" si="6"/>
        <v>-8</v>
      </c>
      <c r="O416" s="40">
        <v>46233</v>
      </c>
      <c r="P416" s="40">
        <v>46258</v>
      </c>
      <c r="Q416" s="34" t="s">
        <v>505</v>
      </c>
      <c r="R416" s="8" t="s">
        <v>537</v>
      </c>
      <c r="S416" s="18"/>
      <c r="T416" s="18"/>
      <c r="U416" s="33"/>
    </row>
    <row r="417" spans="1:21" ht="15.95" customHeight="1">
      <c r="A417" s="39">
        <v>10</v>
      </c>
      <c r="B417" s="40">
        <v>46188</v>
      </c>
      <c r="C417" s="40" t="s">
        <v>476</v>
      </c>
      <c r="D417" s="40" t="s">
        <v>339</v>
      </c>
      <c r="E417" s="49" t="s">
        <v>511</v>
      </c>
      <c r="F417" s="41" t="s">
        <v>201</v>
      </c>
      <c r="G417" s="41" t="s">
        <v>233</v>
      </c>
      <c r="H417" s="41" t="s">
        <v>482</v>
      </c>
      <c r="I417" s="46" t="s">
        <v>78</v>
      </c>
      <c r="J417" s="46" t="str">
        <f>VLOOKUP(I417,'DESCRICAO PRODUTO'!$A:$C,2,0)</f>
        <v>MICRO-ONDAS MO-02-34-W 220V/60HZ .</v>
      </c>
      <c r="K417" s="41" t="str">
        <f>VLOOKUP(I417,'DESCRICAO PRODUTO'!$A:$C,3,0)</f>
        <v>MO 34L</v>
      </c>
      <c r="L417" s="38">
        <v>24</v>
      </c>
      <c r="M417" s="58">
        <v>24</v>
      </c>
      <c r="N417" s="51">
        <f t="shared" si="6"/>
        <v>0</v>
      </c>
      <c r="O417" s="40">
        <v>46241</v>
      </c>
      <c r="P417" s="40">
        <v>46245</v>
      </c>
      <c r="Q417" s="34" t="s">
        <v>455</v>
      </c>
      <c r="R417" s="8" t="s">
        <v>512</v>
      </c>
      <c r="S417" s="18">
        <v>31177</v>
      </c>
      <c r="T417" s="18" t="s">
        <v>518</v>
      </c>
      <c r="U417" s="33">
        <v>46260</v>
      </c>
    </row>
    <row r="418" spans="1:21" ht="15.95" customHeight="1">
      <c r="A418" s="39">
        <v>10</v>
      </c>
      <c r="B418" s="40">
        <v>46188</v>
      </c>
      <c r="C418" s="40" t="s">
        <v>476</v>
      </c>
      <c r="D418" s="40" t="s">
        <v>339</v>
      </c>
      <c r="E418" s="49" t="s">
        <v>510</v>
      </c>
      <c r="F418" s="41" t="s">
        <v>198</v>
      </c>
      <c r="G418" s="41" t="s">
        <v>233</v>
      </c>
      <c r="H418" s="41" t="s">
        <v>482</v>
      </c>
      <c r="I418" s="46" t="s">
        <v>78</v>
      </c>
      <c r="J418" s="46" t="str">
        <f>VLOOKUP(I418,'DESCRICAO PRODUTO'!$A:$C,2,0)</f>
        <v>MICRO-ONDAS MO-02-34-W 220V/60HZ .</v>
      </c>
      <c r="K418" s="41" t="str">
        <f>VLOOKUP(I418,'DESCRICAO PRODUTO'!$A:$C,3,0)</f>
        <v>MO 34L</v>
      </c>
      <c r="L418" s="38">
        <v>24</v>
      </c>
      <c r="M418" s="58">
        <v>24</v>
      </c>
      <c r="N418" s="51">
        <f t="shared" si="6"/>
        <v>0</v>
      </c>
      <c r="O418" s="40">
        <v>46241</v>
      </c>
      <c r="P418" s="40">
        <v>46245</v>
      </c>
      <c r="Q418" s="34" t="s">
        <v>455</v>
      </c>
      <c r="R418" s="8" t="s">
        <v>512</v>
      </c>
      <c r="S418" s="18">
        <v>31177</v>
      </c>
      <c r="T418" s="18" t="s">
        <v>518</v>
      </c>
      <c r="U418" s="33">
        <v>46260</v>
      </c>
    </row>
    <row r="419" spans="1:21" ht="15.95" customHeight="1">
      <c r="A419" s="39">
        <v>10</v>
      </c>
      <c r="B419" s="40">
        <v>46188</v>
      </c>
      <c r="C419" s="40" t="s">
        <v>476</v>
      </c>
      <c r="D419" s="40" t="s">
        <v>339</v>
      </c>
      <c r="E419" s="49" t="s">
        <v>239</v>
      </c>
      <c r="F419" s="41" t="s">
        <v>154</v>
      </c>
      <c r="G419" s="41" t="s">
        <v>233</v>
      </c>
      <c r="H419" s="41" t="s">
        <v>481</v>
      </c>
      <c r="I419" s="46" t="s">
        <v>78</v>
      </c>
      <c r="J419" s="46" t="str">
        <f>VLOOKUP(I419,'DESCRICAO PRODUTO'!$A:$C,2,0)</f>
        <v>MICRO-ONDAS MO-02-34-W 220V/60HZ .</v>
      </c>
      <c r="K419" s="41" t="str">
        <f>VLOOKUP(I419,'DESCRICAO PRODUTO'!$A:$C,3,0)</f>
        <v>MO 34L</v>
      </c>
      <c r="L419" s="38">
        <v>24</v>
      </c>
      <c r="M419" s="58"/>
      <c r="N419" s="51">
        <f t="shared" si="6"/>
        <v>-24</v>
      </c>
      <c r="O419" s="40">
        <v>46233</v>
      </c>
      <c r="P419" s="40">
        <v>46258</v>
      </c>
      <c r="Q419" s="34" t="s">
        <v>505</v>
      </c>
      <c r="R419" s="8" t="s">
        <v>537</v>
      </c>
      <c r="S419" s="18"/>
      <c r="T419" s="18"/>
      <c r="U419" s="33"/>
    </row>
    <row r="420" spans="1:21" ht="15.95" customHeight="1">
      <c r="A420" s="39">
        <v>10</v>
      </c>
      <c r="B420" s="40">
        <v>46188</v>
      </c>
      <c r="C420" s="40" t="s">
        <v>476</v>
      </c>
      <c r="D420" s="40" t="s">
        <v>339</v>
      </c>
      <c r="E420" s="49" t="s">
        <v>511</v>
      </c>
      <c r="F420" s="41" t="s">
        <v>201</v>
      </c>
      <c r="G420" s="41" t="s">
        <v>233</v>
      </c>
      <c r="H420" s="41" t="s">
        <v>482</v>
      </c>
      <c r="I420" s="46" t="s">
        <v>21</v>
      </c>
      <c r="J420" s="46" t="str">
        <f>VLOOKUP(I420,'DESCRICAO PRODUTO'!$A:$C,2,0)</f>
        <v>MICRO-ONDAS MO-02-34-E 127V/60HZ .</v>
      </c>
      <c r="K420" s="41" t="str">
        <f>VLOOKUP(I420,'DESCRICAO PRODUTO'!$A:$C,3,0)</f>
        <v>MO 34L</v>
      </c>
      <c r="L420" s="38">
        <v>37</v>
      </c>
      <c r="M420" s="58">
        <v>37</v>
      </c>
      <c r="N420" s="51">
        <f t="shared" si="6"/>
        <v>0</v>
      </c>
      <c r="O420" s="40">
        <v>46241</v>
      </c>
      <c r="P420" s="40">
        <v>46245</v>
      </c>
      <c r="Q420" s="34" t="s">
        <v>455</v>
      </c>
      <c r="R420" s="8" t="s">
        <v>512</v>
      </c>
      <c r="S420" s="18">
        <v>31177</v>
      </c>
      <c r="T420" s="18" t="s">
        <v>518</v>
      </c>
      <c r="U420" s="33">
        <v>46260</v>
      </c>
    </row>
    <row r="421" spans="1:21" ht="15.95" customHeight="1">
      <c r="A421" s="39">
        <v>10</v>
      </c>
      <c r="B421" s="40">
        <v>46188</v>
      </c>
      <c r="C421" s="40" t="s">
        <v>476</v>
      </c>
      <c r="D421" s="40" t="s">
        <v>339</v>
      </c>
      <c r="E421" s="49" t="s">
        <v>510</v>
      </c>
      <c r="F421" s="41" t="s">
        <v>198</v>
      </c>
      <c r="G421" s="41" t="s">
        <v>233</v>
      </c>
      <c r="H421" s="41" t="s">
        <v>482</v>
      </c>
      <c r="I421" s="46" t="s">
        <v>21</v>
      </c>
      <c r="J421" s="46" t="str">
        <f>VLOOKUP(I421,'DESCRICAO PRODUTO'!$A:$C,2,0)</f>
        <v>MICRO-ONDAS MO-02-34-E 127V/60HZ .</v>
      </c>
      <c r="K421" s="41" t="str">
        <f>VLOOKUP(I421,'DESCRICAO PRODUTO'!$A:$C,3,0)</f>
        <v>MO 34L</v>
      </c>
      <c r="L421" s="38">
        <v>37</v>
      </c>
      <c r="M421" s="58">
        <v>37</v>
      </c>
      <c r="N421" s="51">
        <f t="shared" si="6"/>
        <v>0</v>
      </c>
      <c r="O421" s="40">
        <v>46241</v>
      </c>
      <c r="P421" s="40">
        <v>46245</v>
      </c>
      <c r="Q421" s="34" t="s">
        <v>455</v>
      </c>
      <c r="R421" s="8" t="s">
        <v>512</v>
      </c>
      <c r="S421" s="18">
        <v>31177</v>
      </c>
      <c r="T421" s="18" t="s">
        <v>518</v>
      </c>
      <c r="U421" s="33">
        <v>46260</v>
      </c>
    </row>
    <row r="422" spans="1:21" ht="15.95" customHeight="1">
      <c r="A422" s="39">
        <v>10</v>
      </c>
      <c r="B422" s="40">
        <v>46188</v>
      </c>
      <c r="C422" s="40" t="s">
        <v>476</v>
      </c>
      <c r="D422" s="40" t="s">
        <v>339</v>
      </c>
      <c r="E422" s="49" t="s">
        <v>149</v>
      </c>
      <c r="F422" s="41" t="s">
        <v>150</v>
      </c>
      <c r="G422" s="41" t="s">
        <v>233</v>
      </c>
      <c r="H422" s="41" t="s">
        <v>481</v>
      </c>
      <c r="I422" s="46" t="s">
        <v>21</v>
      </c>
      <c r="J422" s="46" t="str">
        <f>VLOOKUP(I422,'DESCRICAO PRODUTO'!$A:$C,2,0)</f>
        <v>MICRO-ONDAS MO-02-34-E 127V/60HZ .</v>
      </c>
      <c r="K422" s="41" t="str">
        <f>VLOOKUP(I422,'DESCRICAO PRODUTO'!$A:$C,3,0)</f>
        <v>MO 34L</v>
      </c>
      <c r="L422" s="38">
        <v>37</v>
      </c>
      <c r="M422" s="58"/>
      <c r="N422" s="51">
        <f t="shared" si="6"/>
        <v>-37</v>
      </c>
      <c r="O422" s="40"/>
      <c r="P422" s="40"/>
      <c r="Q422" s="34" t="s">
        <v>4</v>
      </c>
      <c r="R422" s="18" t="s">
        <v>557</v>
      </c>
      <c r="S422" s="18"/>
      <c r="T422" s="18"/>
      <c r="U422" s="33"/>
    </row>
    <row r="423" spans="1:21" ht="15.95" customHeight="1">
      <c r="A423" s="39">
        <v>10</v>
      </c>
      <c r="B423" s="40">
        <v>46188</v>
      </c>
      <c r="C423" s="40" t="s">
        <v>476</v>
      </c>
      <c r="D423" s="40" t="s">
        <v>339</v>
      </c>
      <c r="E423" s="49" t="s">
        <v>511</v>
      </c>
      <c r="F423" s="41" t="s">
        <v>201</v>
      </c>
      <c r="G423" s="41" t="s">
        <v>233</v>
      </c>
      <c r="H423" s="41" t="s">
        <v>482</v>
      </c>
      <c r="I423" s="46" t="s">
        <v>79</v>
      </c>
      <c r="J423" s="46" t="str">
        <f>VLOOKUP(I423,'DESCRICAO PRODUTO'!$A:$C,2,0)</f>
        <v>MICRO-ONDAS MO-02-34-E 220V/60HZ .</v>
      </c>
      <c r="K423" s="41" t="str">
        <f>VLOOKUP(I423,'DESCRICAO PRODUTO'!$A:$C,3,0)</f>
        <v>MO 34L</v>
      </c>
      <c r="L423" s="38">
        <v>4</v>
      </c>
      <c r="M423" s="58">
        <v>4</v>
      </c>
      <c r="N423" s="51">
        <f t="shared" si="6"/>
        <v>0</v>
      </c>
      <c r="O423" s="40">
        <v>46241</v>
      </c>
      <c r="P423" s="40">
        <v>46245</v>
      </c>
      <c r="Q423" s="34" t="s">
        <v>455</v>
      </c>
      <c r="R423" s="8" t="s">
        <v>512</v>
      </c>
      <c r="S423" s="18">
        <v>31177</v>
      </c>
      <c r="T423" s="18" t="s">
        <v>518</v>
      </c>
      <c r="U423" s="33">
        <v>46260</v>
      </c>
    </row>
    <row r="424" spans="1:21" ht="15.95" customHeight="1">
      <c r="A424" s="39">
        <v>10</v>
      </c>
      <c r="B424" s="40">
        <v>46188</v>
      </c>
      <c r="C424" s="40" t="s">
        <v>476</v>
      </c>
      <c r="D424" s="40" t="s">
        <v>339</v>
      </c>
      <c r="E424" s="49" t="s">
        <v>510</v>
      </c>
      <c r="F424" s="41" t="s">
        <v>198</v>
      </c>
      <c r="G424" s="41" t="s">
        <v>233</v>
      </c>
      <c r="H424" s="41" t="s">
        <v>482</v>
      </c>
      <c r="I424" s="46" t="s">
        <v>79</v>
      </c>
      <c r="J424" s="46" t="str">
        <f>VLOOKUP(I424,'DESCRICAO PRODUTO'!$A:$C,2,0)</f>
        <v>MICRO-ONDAS MO-02-34-E 220V/60HZ .</v>
      </c>
      <c r="K424" s="41" t="str">
        <f>VLOOKUP(I424,'DESCRICAO PRODUTO'!$A:$C,3,0)</f>
        <v>MO 34L</v>
      </c>
      <c r="L424" s="38">
        <v>4</v>
      </c>
      <c r="M424" s="58">
        <v>4</v>
      </c>
      <c r="N424" s="51">
        <f t="shared" si="6"/>
        <v>0</v>
      </c>
      <c r="O424" s="40">
        <v>46241</v>
      </c>
      <c r="P424" s="40">
        <v>46245</v>
      </c>
      <c r="Q424" s="34" t="s">
        <v>455</v>
      </c>
      <c r="R424" s="8" t="s">
        <v>512</v>
      </c>
      <c r="S424" s="18">
        <v>31177</v>
      </c>
      <c r="T424" s="18" t="s">
        <v>518</v>
      </c>
      <c r="U424" s="33">
        <v>46260</v>
      </c>
    </row>
    <row r="425" spans="1:21" ht="15.95" customHeight="1">
      <c r="A425" s="39">
        <v>10</v>
      </c>
      <c r="B425" s="40">
        <v>46188</v>
      </c>
      <c r="C425" s="40" t="s">
        <v>476</v>
      </c>
      <c r="D425" s="40" t="s">
        <v>339</v>
      </c>
      <c r="E425" s="49" t="s">
        <v>149</v>
      </c>
      <c r="F425" s="41" t="s">
        <v>150</v>
      </c>
      <c r="G425" s="41" t="s">
        <v>233</v>
      </c>
      <c r="H425" s="41" t="s">
        <v>481</v>
      </c>
      <c r="I425" s="46" t="s">
        <v>79</v>
      </c>
      <c r="J425" s="46" t="str">
        <f>VLOOKUP(I425,'DESCRICAO PRODUTO'!$A:$C,2,0)</f>
        <v>MICRO-ONDAS MO-02-34-E 220V/60HZ .</v>
      </c>
      <c r="K425" s="41" t="str">
        <f>VLOOKUP(I425,'DESCRICAO PRODUTO'!$A:$C,3,0)</f>
        <v>MO 34L</v>
      </c>
      <c r="L425" s="38">
        <v>4</v>
      </c>
      <c r="M425" s="58"/>
      <c r="N425" s="51">
        <f t="shared" si="6"/>
        <v>-4</v>
      </c>
      <c r="O425" s="40"/>
      <c r="P425" s="40"/>
      <c r="Q425" s="34" t="s">
        <v>4</v>
      </c>
      <c r="R425" s="18" t="s">
        <v>557</v>
      </c>
      <c r="S425" s="18"/>
      <c r="T425" s="18"/>
      <c r="U425" s="33"/>
    </row>
    <row r="426" spans="1:21" ht="15.95" customHeight="1">
      <c r="A426" s="39">
        <v>10</v>
      </c>
      <c r="B426" s="40">
        <v>46188</v>
      </c>
      <c r="C426" s="40" t="s">
        <v>476</v>
      </c>
      <c r="D426" s="40" t="s">
        <v>339</v>
      </c>
      <c r="E426" s="49" t="s">
        <v>489</v>
      </c>
      <c r="F426" s="41" t="s">
        <v>490</v>
      </c>
      <c r="G426" s="41" t="s">
        <v>233</v>
      </c>
      <c r="H426" s="41" t="s">
        <v>483</v>
      </c>
      <c r="I426" s="46" t="s">
        <v>86</v>
      </c>
      <c r="J426" s="46" t="str">
        <f>VLOOKUP(I426,'DESCRICAO PRODUTO'!$A:$C,2,0)</f>
        <v>BOOMBOX C/ LUZES AWS-BBS-01-LBL BIVOLT</v>
      </c>
      <c r="K426" s="41" t="str">
        <f>VLOOKUP(I426,'DESCRICAO PRODUTO'!$A:$C,3,0)</f>
        <v>BBS LBL</v>
      </c>
      <c r="L426" s="38">
        <v>10</v>
      </c>
      <c r="M426" s="58">
        <v>10</v>
      </c>
      <c r="N426" s="51">
        <f t="shared" si="6"/>
        <v>0</v>
      </c>
      <c r="O426" s="40">
        <v>46253</v>
      </c>
      <c r="P426" s="40">
        <v>46258</v>
      </c>
      <c r="Q426" s="34" t="s">
        <v>505</v>
      </c>
      <c r="R426" s="18" t="s">
        <v>548</v>
      </c>
      <c r="S426" s="18"/>
      <c r="T426" s="18"/>
      <c r="U426" s="33"/>
    </row>
    <row r="427" spans="1:21" ht="15.95" customHeight="1">
      <c r="A427" s="39">
        <v>11</v>
      </c>
      <c r="B427" s="40">
        <v>46198</v>
      </c>
      <c r="C427" s="40" t="s">
        <v>465</v>
      </c>
      <c r="D427" s="40" t="s">
        <v>339</v>
      </c>
      <c r="E427" s="49" t="s">
        <v>489</v>
      </c>
      <c r="F427" s="41" t="s">
        <v>490</v>
      </c>
      <c r="G427" s="41" t="s">
        <v>233</v>
      </c>
      <c r="H427" s="41" t="s">
        <v>483</v>
      </c>
      <c r="I427" s="46" t="s">
        <v>24</v>
      </c>
      <c r="J427" s="46" t="str">
        <f>VLOOKUP(I427,'DESCRICAO PRODUTO'!$A:$C,2,0)</f>
        <v>BOOMBOX AWS-BBS-01-B BIVOLT</v>
      </c>
      <c r="K427" s="41" t="str">
        <f>VLOOKUP(I427,'DESCRICAO PRODUTO'!$A:$C,3,0)</f>
        <v>BBS PRETO</v>
      </c>
      <c r="L427" s="38">
        <v>4500</v>
      </c>
      <c r="M427" s="58">
        <v>4500</v>
      </c>
      <c r="N427" s="51">
        <f t="shared" si="6"/>
        <v>0</v>
      </c>
      <c r="O427" s="40">
        <v>46211</v>
      </c>
      <c r="P427" s="40">
        <v>46218</v>
      </c>
      <c r="Q427" s="34" t="s">
        <v>455</v>
      </c>
      <c r="R427" s="8"/>
      <c r="S427" s="18">
        <v>30986</v>
      </c>
      <c r="T427" s="18" t="s">
        <v>491</v>
      </c>
      <c r="U427" s="33">
        <v>46233</v>
      </c>
    </row>
    <row r="428" spans="1:21" ht="15.95" customHeight="1">
      <c r="A428" s="39">
        <v>12</v>
      </c>
      <c r="B428" s="40">
        <v>46198</v>
      </c>
      <c r="C428" s="40" t="s">
        <v>240</v>
      </c>
      <c r="D428" s="40" t="s">
        <v>7</v>
      </c>
      <c r="E428" s="49" t="s">
        <v>236</v>
      </c>
      <c r="F428" s="41" t="s">
        <v>38</v>
      </c>
      <c r="G428" s="41" t="s">
        <v>241</v>
      </c>
      <c r="H428" s="41" t="s">
        <v>479</v>
      </c>
      <c r="I428" s="46" t="s">
        <v>95</v>
      </c>
      <c r="J428" s="46" t="str">
        <f>VLOOKUP(I428,'DESCRICAO PRODUTO'!$A:$C,2,0)</f>
        <v>TV 55 ANDROID AWS-TV-55-BL-01</v>
      </c>
      <c r="K428" s="41" t="str">
        <f>VLOOKUP(I428,'DESCRICAO PRODUTO'!$A:$C,3,0)</f>
        <v>TV 55 ANDROID</v>
      </c>
      <c r="L428" s="38">
        <v>200</v>
      </c>
      <c r="M428" s="58"/>
      <c r="N428" s="51">
        <f t="shared" si="6"/>
        <v>-200</v>
      </c>
      <c r="O428" s="40">
        <v>46252</v>
      </c>
      <c r="P428" s="40">
        <v>46258</v>
      </c>
      <c r="Q428" s="34" t="s">
        <v>505</v>
      </c>
      <c r="R428" s="55" t="s">
        <v>548</v>
      </c>
      <c r="S428" s="18"/>
      <c r="T428" s="18"/>
      <c r="U428" s="33"/>
    </row>
    <row r="429" spans="1:21" ht="15.95" customHeight="1">
      <c r="A429" s="39">
        <v>12</v>
      </c>
      <c r="B429" s="40">
        <v>46198</v>
      </c>
      <c r="C429" s="40" t="s">
        <v>240</v>
      </c>
      <c r="D429" s="40" t="s">
        <v>7</v>
      </c>
      <c r="E429" s="49" t="s">
        <v>235</v>
      </c>
      <c r="F429" s="41" t="s">
        <v>188</v>
      </c>
      <c r="G429" s="41" t="s">
        <v>241</v>
      </c>
      <c r="H429" s="41" t="s">
        <v>479</v>
      </c>
      <c r="I429" s="46" t="s">
        <v>139</v>
      </c>
      <c r="J429" s="62" t="str">
        <f>VLOOKUP(I429,'DESCRICAO PRODUTO'!$A:$C,2,0)</f>
        <v>TV 50 ANDROID BORD INF AWS-TV-50-BL-02-A</v>
      </c>
      <c r="K429" s="41" t="str">
        <f>VLOOKUP(I429,'DESCRICAO PRODUTO'!$A:$C,3,0)</f>
        <v>TV 50 ANDROID</v>
      </c>
      <c r="L429" s="38">
        <v>190</v>
      </c>
      <c r="M429" s="58">
        <v>300</v>
      </c>
      <c r="N429" s="51">
        <f t="shared" si="6"/>
        <v>110</v>
      </c>
      <c r="O429" s="40"/>
      <c r="P429" s="40">
        <v>46258</v>
      </c>
      <c r="Q429" s="34" t="s">
        <v>505</v>
      </c>
      <c r="R429" s="18" t="s">
        <v>558</v>
      </c>
      <c r="S429" s="18"/>
      <c r="T429" s="18"/>
      <c r="U429" s="33"/>
    </row>
    <row r="430" spans="1:21" ht="15.95" customHeight="1">
      <c r="A430" s="39">
        <v>12</v>
      </c>
      <c r="B430" s="40">
        <v>46198</v>
      </c>
      <c r="C430" s="40" t="s">
        <v>240</v>
      </c>
      <c r="D430" s="40" t="s">
        <v>7</v>
      </c>
      <c r="E430" s="49" t="s">
        <v>489</v>
      </c>
      <c r="F430" s="41" t="s">
        <v>490</v>
      </c>
      <c r="G430" s="41" t="s">
        <v>233</v>
      </c>
      <c r="H430" s="41" t="s">
        <v>483</v>
      </c>
      <c r="I430" s="46" t="s">
        <v>24</v>
      </c>
      <c r="J430" s="46" t="str">
        <f>VLOOKUP(I430,'DESCRICAO PRODUTO'!$A:$C,2,0)</f>
        <v>BOOMBOX AWS-BBS-01-B BIVOLT</v>
      </c>
      <c r="K430" s="41" t="str">
        <f>VLOOKUP(I430,'DESCRICAO PRODUTO'!$A:$C,3,0)</f>
        <v>BBS PRETO</v>
      </c>
      <c r="L430" s="38">
        <v>3000</v>
      </c>
      <c r="M430" s="58">
        <v>3000</v>
      </c>
      <c r="N430" s="51">
        <f t="shared" si="6"/>
        <v>0</v>
      </c>
      <c r="O430" s="40">
        <v>46241</v>
      </c>
      <c r="P430" s="40">
        <v>46247</v>
      </c>
      <c r="Q430" s="34" t="s">
        <v>455</v>
      </c>
      <c r="R430" s="8" t="s">
        <v>523</v>
      </c>
      <c r="S430" s="18">
        <v>31194</v>
      </c>
      <c r="T430" s="18" t="s">
        <v>531</v>
      </c>
      <c r="U430" s="33">
        <v>46262</v>
      </c>
    </row>
    <row r="431" spans="1:21" ht="15.95" customHeight="1">
      <c r="A431" s="39">
        <v>13</v>
      </c>
      <c r="B431" s="40">
        <v>46233</v>
      </c>
      <c r="C431" s="40" t="s">
        <v>507</v>
      </c>
      <c r="D431" s="40" t="s">
        <v>7</v>
      </c>
      <c r="E431" s="49" t="s">
        <v>509</v>
      </c>
      <c r="F431" s="41" t="s">
        <v>33</v>
      </c>
      <c r="G431" s="41" t="s">
        <v>241</v>
      </c>
      <c r="H431" s="41" t="s">
        <v>479</v>
      </c>
      <c r="I431" s="46" t="s">
        <v>24</v>
      </c>
      <c r="J431" s="46" t="str">
        <f>VLOOKUP(I431,'DESCRICAO PRODUTO'!$A:$C,2,0)</f>
        <v>BOOMBOX AWS-BBS-01-B BIVOLT</v>
      </c>
      <c r="K431" s="41" t="str">
        <f>VLOOKUP(I431,'DESCRICAO PRODUTO'!$A:$C,3,0)</f>
        <v>BBS PRETO</v>
      </c>
      <c r="L431" s="38">
        <v>600</v>
      </c>
      <c r="M431" s="58">
        <v>600</v>
      </c>
      <c r="N431" s="51">
        <f t="shared" si="6"/>
        <v>0</v>
      </c>
      <c r="O431" s="40">
        <v>46233</v>
      </c>
      <c r="P431" s="40">
        <v>46247</v>
      </c>
      <c r="Q431" s="34" t="s">
        <v>455</v>
      </c>
      <c r="R431" s="8" t="s">
        <v>532</v>
      </c>
      <c r="S431" s="18">
        <v>31205</v>
      </c>
      <c r="T431" s="18" t="s">
        <v>531</v>
      </c>
      <c r="U431" s="33">
        <v>46262</v>
      </c>
    </row>
    <row r="432" spans="1:21" ht="15.95" customHeight="1">
      <c r="A432" s="39">
        <v>13</v>
      </c>
      <c r="B432" s="40">
        <v>46233</v>
      </c>
      <c r="C432" s="40" t="s">
        <v>507</v>
      </c>
      <c r="D432" s="40" t="s">
        <v>7</v>
      </c>
      <c r="E432" s="49" t="s">
        <v>509</v>
      </c>
      <c r="F432" s="41" t="s">
        <v>33</v>
      </c>
      <c r="G432" s="41" t="s">
        <v>241</v>
      </c>
      <c r="H432" s="41" t="s">
        <v>479</v>
      </c>
      <c r="I432" s="46" t="s">
        <v>24</v>
      </c>
      <c r="J432" s="46" t="str">
        <f>VLOOKUP(I432,'DESCRICAO PRODUTO'!$A:$C,2,0)</f>
        <v>BOOMBOX AWS-BBS-01-B BIVOLT</v>
      </c>
      <c r="K432" s="41" t="str">
        <f>VLOOKUP(I432,'DESCRICAO PRODUTO'!$A:$C,3,0)</f>
        <v>BBS PRETO</v>
      </c>
      <c r="L432" s="38">
        <v>1995</v>
      </c>
      <c r="M432" s="58">
        <v>1995</v>
      </c>
      <c r="N432" s="51">
        <f t="shared" si="6"/>
        <v>0</v>
      </c>
      <c r="O432" s="40">
        <v>46241</v>
      </c>
      <c r="P432" s="40">
        <v>46247</v>
      </c>
      <c r="Q432" s="34" t="s">
        <v>455</v>
      </c>
      <c r="R432" s="8" t="s">
        <v>523</v>
      </c>
      <c r="S432" s="18">
        <v>31194</v>
      </c>
      <c r="T432" s="18" t="s">
        <v>531</v>
      </c>
      <c r="U432" s="33">
        <v>46262</v>
      </c>
    </row>
    <row r="433" spans="1:21" ht="15.95" customHeight="1">
      <c r="A433" s="39">
        <v>13</v>
      </c>
      <c r="B433" s="40">
        <v>46233</v>
      </c>
      <c r="C433" s="40" t="s">
        <v>507</v>
      </c>
      <c r="D433" s="40" t="s">
        <v>7</v>
      </c>
      <c r="E433" s="49" t="s">
        <v>489</v>
      </c>
      <c r="F433" s="41" t="s">
        <v>490</v>
      </c>
      <c r="G433" s="41" t="s">
        <v>233</v>
      </c>
      <c r="H433" s="41" t="s">
        <v>483</v>
      </c>
      <c r="I433" s="46" t="s">
        <v>24</v>
      </c>
      <c r="J433" s="46" t="str">
        <f>VLOOKUP(I433,'DESCRICAO PRODUTO'!$A:$C,2,0)</f>
        <v>BOOMBOX AWS-BBS-01-B BIVOLT</v>
      </c>
      <c r="K433" s="41" t="str">
        <f>VLOOKUP(I433,'DESCRICAO PRODUTO'!$A:$C,3,0)</f>
        <v>BBS PRETO</v>
      </c>
      <c r="L433" s="38">
        <f>L432*2</f>
        <v>3990</v>
      </c>
      <c r="M433" s="58">
        <v>3990</v>
      </c>
      <c r="N433" s="51">
        <f t="shared" si="6"/>
        <v>0</v>
      </c>
      <c r="O433" s="40">
        <v>46253</v>
      </c>
      <c r="P433" s="40">
        <v>46258</v>
      </c>
      <c r="Q433" s="34" t="s">
        <v>505</v>
      </c>
      <c r="R433" s="18" t="s">
        <v>548</v>
      </c>
      <c r="S433" s="18"/>
      <c r="T433" s="18"/>
      <c r="U433" s="33"/>
    </row>
    <row r="434" spans="1:21" ht="15.95" customHeight="1">
      <c r="A434" s="39">
        <v>13</v>
      </c>
      <c r="B434" s="40">
        <v>46233</v>
      </c>
      <c r="C434" s="40" t="s">
        <v>507</v>
      </c>
      <c r="D434" s="40" t="s">
        <v>7</v>
      </c>
      <c r="E434" s="49" t="s">
        <v>509</v>
      </c>
      <c r="F434" s="41" t="s">
        <v>33</v>
      </c>
      <c r="G434" s="41" t="s">
        <v>241</v>
      </c>
      <c r="H434" s="41" t="s">
        <v>479</v>
      </c>
      <c r="I434" s="46" t="s">
        <v>24</v>
      </c>
      <c r="J434" s="46" t="str">
        <f>VLOOKUP(I434,'DESCRICAO PRODUTO'!$A:$C,2,0)</f>
        <v>BOOMBOX AWS-BBS-01-B BIVOLT</v>
      </c>
      <c r="K434" s="41" t="str">
        <f>VLOOKUP(I434,'DESCRICAO PRODUTO'!$A:$C,3,0)</f>
        <v>BBS PRETO</v>
      </c>
      <c r="L434" s="38">
        <v>77</v>
      </c>
      <c r="M434" s="58">
        <v>77</v>
      </c>
      <c r="N434" s="51">
        <f t="shared" si="6"/>
        <v>0</v>
      </c>
      <c r="O434" s="40">
        <v>46241</v>
      </c>
      <c r="P434" s="40">
        <v>46247</v>
      </c>
      <c r="Q434" s="34" t="s">
        <v>455</v>
      </c>
      <c r="R434" s="8" t="s">
        <v>523</v>
      </c>
      <c r="S434" s="18">
        <v>31194</v>
      </c>
      <c r="T434" s="18" t="s">
        <v>531</v>
      </c>
      <c r="U434" s="33">
        <v>46262</v>
      </c>
    </row>
    <row r="435" spans="1:21" ht="15.95" customHeight="1">
      <c r="A435" s="39">
        <v>13</v>
      </c>
      <c r="B435" s="40">
        <v>46233</v>
      </c>
      <c r="C435" s="40" t="s">
        <v>507</v>
      </c>
      <c r="D435" s="40" t="s">
        <v>7</v>
      </c>
      <c r="E435" s="49" t="s">
        <v>489</v>
      </c>
      <c r="F435" s="41" t="s">
        <v>490</v>
      </c>
      <c r="G435" s="41" t="s">
        <v>233</v>
      </c>
      <c r="H435" s="41" t="s">
        <v>483</v>
      </c>
      <c r="I435" s="46" t="s">
        <v>24</v>
      </c>
      <c r="J435" s="46" t="str">
        <f>VLOOKUP(I435,'DESCRICAO PRODUTO'!$A:$C,2,0)</f>
        <v>BOOMBOX AWS-BBS-01-B BIVOLT</v>
      </c>
      <c r="K435" s="41" t="str">
        <f>VLOOKUP(I435,'DESCRICAO PRODUTO'!$A:$C,3,0)</f>
        <v>BBS PRETO</v>
      </c>
      <c r="L435" s="38">
        <f>77*2</f>
        <v>154</v>
      </c>
      <c r="M435" s="58">
        <v>154</v>
      </c>
      <c r="N435" s="51">
        <f t="shared" si="6"/>
        <v>0</v>
      </c>
      <c r="O435" s="40">
        <v>46253</v>
      </c>
      <c r="P435" s="40">
        <v>46258</v>
      </c>
      <c r="Q435" s="34" t="s">
        <v>505</v>
      </c>
      <c r="R435" s="18" t="s">
        <v>548</v>
      </c>
      <c r="S435" s="18"/>
      <c r="T435" s="18"/>
      <c r="U435" s="33"/>
    </row>
    <row r="436" spans="1:21" ht="15.95" customHeight="1">
      <c r="A436" s="39">
        <v>13</v>
      </c>
      <c r="B436" s="40">
        <v>46233</v>
      </c>
      <c r="C436" s="40" t="s">
        <v>507</v>
      </c>
      <c r="D436" s="40" t="s">
        <v>7</v>
      </c>
      <c r="E436" s="49" t="s">
        <v>509</v>
      </c>
      <c r="F436" s="41" t="s">
        <v>33</v>
      </c>
      <c r="G436" s="41" t="s">
        <v>241</v>
      </c>
      <c r="H436" s="41" t="s">
        <v>479</v>
      </c>
      <c r="I436" s="46" t="s">
        <v>24</v>
      </c>
      <c r="J436" s="46" t="str">
        <f>VLOOKUP(I436,'DESCRICAO PRODUTO'!$A:$C,2,0)</f>
        <v>BOOMBOX AWS-BBS-01-B BIVOLT</v>
      </c>
      <c r="K436" s="41" t="str">
        <f>VLOOKUP(I436,'DESCRICAO PRODUTO'!$A:$C,3,0)</f>
        <v>BBS PRETO</v>
      </c>
      <c r="L436" s="38">
        <f>3176-600</f>
        <v>2576</v>
      </c>
      <c r="M436" s="58"/>
      <c r="N436" s="51">
        <f t="shared" si="6"/>
        <v>-2576</v>
      </c>
      <c r="O436" s="40">
        <v>46258</v>
      </c>
      <c r="P436" s="40">
        <v>46258</v>
      </c>
      <c r="Q436" s="34" t="s">
        <v>505</v>
      </c>
      <c r="R436" s="18" t="s">
        <v>556</v>
      </c>
      <c r="S436" s="18"/>
      <c r="T436" s="18"/>
      <c r="U436" s="33"/>
    </row>
    <row r="437" spans="1:21" ht="15.95" customHeight="1">
      <c r="A437" s="39">
        <v>14</v>
      </c>
      <c r="B437" s="40">
        <v>46238</v>
      </c>
      <c r="C437" s="40" t="s">
        <v>507</v>
      </c>
      <c r="D437" s="40" t="s">
        <v>7</v>
      </c>
      <c r="E437" s="49" t="s">
        <v>162</v>
      </c>
      <c r="F437" s="41" t="s">
        <v>187</v>
      </c>
      <c r="G437" s="41" t="s">
        <v>241</v>
      </c>
      <c r="H437" s="41" t="s">
        <v>479</v>
      </c>
      <c r="I437" s="46" t="s">
        <v>140</v>
      </c>
      <c r="J437" s="46" t="str">
        <f>VLOOKUP(I437,'DESCRICAO PRODUTO'!$A:$C,2,0)</f>
        <v>BOOMBOX AWS-BBS-01-BG BIVOLT</v>
      </c>
      <c r="K437" s="41" t="str">
        <f>VLOOKUP(I437,'DESCRICAO PRODUTO'!$A:$C,3,0)</f>
        <v>BBS BG</v>
      </c>
      <c r="L437" s="38">
        <v>959</v>
      </c>
      <c r="M437" s="58">
        <v>1200</v>
      </c>
      <c r="N437" s="51">
        <f t="shared" si="6"/>
        <v>241</v>
      </c>
      <c r="O437" s="40">
        <v>46252</v>
      </c>
      <c r="P437" s="40">
        <v>46253</v>
      </c>
      <c r="Q437" s="34" t="s">
        <v>455</v>
      </c>
      <c r="R437" s="18" t="s">
        <v>539</v>
      </c>
      <c r="S437" s="18">
        <v>31242</v>
      </c>
      <c r="T437" s="18" t="s">
        <v>559</v>
      </c>
      <c r="U437" s="33">
        <v>46269</v>
      </c>
    </row>
    <row r="438" spans="1:21" ht="15.95" customHeight="1">
      <c r="A438" s="39">
        <v>14</v>
      </c>
      <c r="B438" s="40">
        <v>46238</v>
      </c>
      <c r="C438" s="40" t="s">
        <v>507</v>
      </c>
      <c r="D438" s="40" t="s">
        <v>7</v>
      </c>
      <c r="E438" s="49" t="s">
        <v>489</v>
      </c>
      <c r="F438" s="41" t="s">
        <v>490</v>
      </c>
      <c r="G438" s="41" t="s">
        <v>233</v>
      </c>
      <c r="H438" s="41" t="s">
        <v>483</v>
      </c>
      <c r="I438" s="46" t="s">
        <v>140</v>
      </c>
      <c r="J438" s="46" t="str">
        <f>VLOOKUP(I438,'DESCRICAO PRODUTO'!$A:$C,2,0)</f>
        <v>BOOMBOX AWS-BBS-01-BG BIVOLT</v>
      </c>
      <c r="K438" s="41" t="str">
        <f>VLOOKUP(I438,'DESCRICAO PRODUTO'!$A:$C,3,0)</f>
        <v>BBS BG</v>
      </c>
      <c r="L438" s="38">
        <v>700</v>
      </c>
      <c r="M438" s="58">
        <v>700</v>
      </c>
      <c r="N438" s="51">
        <f t="shared" si="6"/>
        <v>0</v>
      </c>
      <c r="O438" s="40">
        <v>46253</v>
      </c>
      <c r="P438" s="40">
        <v>46258</v>
      </c>
      <c r="Q438" s="34" t="s">
        <v>505</v>
      </c>
      <c r="R438" s="18" t="s">
        <v>548</v>
      </c>
      <c r="S438" s="18"/>
      <c r="T438" s="18"/>
      <c r="U438" s="33"/>
    </row>
    <row r="439" spans="1:21" ht="15.95" customHeight="1">
      <c r="A439" s="39">
        <v>14</v>
      </c>
      <c r="B439" s="40">
        <v>46238</v>
      </c>
      <c r="C439" s="40" t="s">
        <v>507</v>
      </c>
      <c r="D439" s="40" t="s">
        <v>7</v>
      </c>
      <c r="E439" s="49" t="s">
        <v>489</v>
      </c>
      <c r="F439" s="41" t="s">
        <v>490</v>
      </c>
      <c r="G439" s="41" t="s">
        <v>233</v>
      </c>
      <c r="H439" s="41" t="s">
        <v>483</v>
      </c>
      <c r="I439" s="46" t="s">
        <v>140</v>
      </c>
      <c r="J439" s="46" t="str">
        <f>VLOOKUP(I439,'DESCRICAO PRODUTO'!$A:$C,2,0)</f>
        <v>BOOMBOX AWS-BBS-01-BG BIVOLT</v>
      </c>
      <c r="K439" s="41" t="str">
        <f>VLOOKUP(I439,'DESCRICAO PRODUTO'!$A:$C,3,0)</f>
        <v>BBS BG</v>
      </c>
      <c r="L439" s="38">
        <v>1218</v>
      </c>
      <c r="M439" s="58">
        <v>1218</v>
      </c>
      <c r="N439" s="51">
        <f t="shared" si="6"/>
        <v>0</v>
      </c>
      <c r="O439" s="40">
        <v>46253</v>
      </c>
      <c r="P439" s="40">
        <v>46258</v>
      </c>
      <c r="Q439" s="34" t="s">
        <v>505</v>
      </c>
      <c r="R439" s="18" t="s">
        <v>548</v>
      </c>
      <c r="S439" s="18"/>
      <c r="T439" s="18"/>
      <c r="U439" s="33"/>
    </row>
    <row r="440" spans="1:21" ht="15.95" customHeight="1">
      <c r="A440" s="39">
        <v>15</v>
      </c>
      <c r="B440" s="40">
        <v>46245</v>
      </c>
      <c r="C440" s="40" t="s">
        <v>530</v>
      </c>
      <c r="D440" s="40" t="s">
        <v>7</v>
      </c>
      <c r="E440" s="49" t="s">
        <v>509</v>
      </c>
      <c r="F440" s="41" t="s">
        <v>33</v>
      </c>
      <c r="G440" s="41" t="s">
        <v>241</v>
      </c>
      <c r="H440" s="41" t="s">
        <v>479</v>
      </c>
      <c r="I440" s="46" t="s">
        <v>24</v>
      </c>
      <c r="J440" s="46" t="str">
        <f>VLOOKUP(I440,'DESCRICAO PRODUTO'!$A:$C,2,0)</f>
        <v>BOOMBOX AWS-BBS-01-B BIVOLT</v>
      </c>
      <c r="K440" s="41" t="str">
        <f>VLOOKUP(I440,'DESCRICAO PRODUTO'!$A:$C,3,0)</f>
        <v>BBS PRETO</v>
      </c>
      <c r="L440" s="38">
        <v>2000</v>
      </c>
      <c r="M440" s="58"/>
      <c r="N440" s="51">
        <f t="shared" si="6"/>
        <v>-2000</v>
      </c>
      <c r="O440" s="40">
        <v>46261</v>
      </c>
      <c r="P440" s="40">
        <v>46261</v>
      </c>
      <c r="Q440" s="34" t="s">
        <v>505</v>
      </c>
      <c r="R440" s="18" t="s">
        <v>554</v>
      </c>
      <c r="S440" s="18"/>
      <c r="T440" s="18"/>
      <c r="U440" s="33"/>
    </row>
    <row r="441" spans="1:21" ht="15.95" customHeight="1">
      <c r="A441" s="39">
        <v>15</v>
      </c>
      <c r="B441" s="40">
        <v>46245</v>
      </c>
      <c r="C441" s="40" t="s">
        <v>530</v>
      </c>
      <c r="D441" s="40" t="s">
        <v>7</v>
      </c>
      <c r="E441" s="49" t="s">
        <v>489</v>
      </c>
      <c r="F441" s="41" t="s">
        <v>490</v>
      </c>
      <c r="G441" s="41" t="s">
        <v>233</v>
      </c>
      <c r="H441" s="41" t="s">
        <v>483</v>
      </c>
      <c r="I441" s="46" t="s">
        <v>24</v>
      </c>
      <c r="J441" s="46" t="str">
        <f>VLOOKUP(I441,'DESCRICAO PRODUTO'!$A:$C,2,0)</f>
        <v>BOOMBOX AWS-BBS-01-B BIVOLT</v>
      </c>
      <c r="K441" s="41" t="str">
        <f>VLOOKUP(I441,'DESCRICAO PRODUTO'!$A:$C,3,0)</f>
        <v>BBS PRETO</v>
      </c>
      <c r="L441" s="38">
        <f>2000*2</f>
        <v>4000</v>
      </c>
      <c r="M441" s="58">
        <v>4000</v>
      </c>
      <c r="N441" s="51">
        <f t="shared" si="6"/>
        <v>0</v>
      </c>
      <c r="O441" s="40">
        <v>46253</v>
      </c>
      <c r="P441" s="40">
        <v>46258</v>
      </c>
      <c r="Q441" s="34" t="s">
        <v>505</v>
      </c>
      <c r="R441" s="18" t="s">
        <v>548</v>
      </c>
      <c r="S441" s="18"/>
      <c r="T441" s="18"/>
      <c r="U441" s="33"/>
    </row>
    <row r="442" spans="1:21" ht="15.95" customHeight="1">
      <c r="A442" s="39">
        <v>15</v>
      </c>
      <c r="B442" s="40">
        <v>46245</v>
      </c>
      <c r="C442" s="40" t="s">
        <v>530</v>
      </c>
      <c r="D442" s="40" t="s">
        <v>7</v>
      </c>
      <c r="E442" s="49" t="s">
        <v>123</v>
      </c>
      <c r="F442" s="41" t="s">
        <v>183</v>
      </c>
      <c r="G442" s="41" t="s">
        <v>241</v>
      </c>
      <c r="H442" s="41" t="s">
        <v>479</v>
      </c>
      <c r="I442" s="46" t="s">
        <v>86</v>
      </c>
      <c r="J442" s="46" t="str">
        <f>VLOOKUP(I442,'DESCRICAO PRODUTO'!$A:$C,2,0)</f>
        <v>BOOMBOX C/ LUZES AWS-BBS-01-LBL BIVOLT</v>
      </c>
      <c r="K442" s="41" t="str">
        <f>VLOOKUP(I442,'DESCRICAO PRODUTO'!$A:$C,3,0)</f>
        <v>BBS LBL</v>
      </c>
      <c r="L442" s="38">
        <v>228</v>
      </c>
      <c r="M442" s="58"/>
      <c r="N442" s="51">
        <f t="shared" si="6"/>
        <v>-228</v>
      </c>
      <c r="O442" s="40">
        <v>46253</v>
      </c>
      <c r="P442" s="40">
        <v>46258</v>
      </c>
      <c r="Q442" s="34" t="s">
        <v>505</v>
      </c>
      <c r="R442" s="8" t="s">
        <v>548</v>
      </c>
      <c r="S442" s="18"/>
      <c r="T442" s="18"/>
      <c r="U442" s="33"/>
    </row>
    <row r="443" spans="1:21" ht="15.95" customHeight="1">
      <c r="A443" s="39">
        <v>15</v>
      </c>
      <c r="B443" s="40">
        <v>46245</v>
      </c>
      <c r="C443" s="40" t="s">
        <v>530</v>
      </c>
      <c r="D443" s="40" t="s">
        <v>7</v>
      </c>
      <c r="E443" s="49" t="s">
        <v>489</v>
      </c>
      <c r="F443" s="41" t="s">
        <v>490</v>
      </c>
      <c r="G443" s="41" t="s">
        <v>233</v>
      </c>
      <c r="H443" s="41" t="s">
        <v>483</v>
      </c>
      <c r="I443" s="46" t="s">
        <v>86</v>
      </c>
      <c r="J443" s="46" t="str">
        <f>VLOOKUP(I443,'DESCRICAO PRODUTO'!$A:$C,2,0)</f>
        <v>BOOMBOX C/ LUZES AWS-BBS-01-LBL BIVOLT</v>
      </c>
      <c r="K443" s="41" t="str">
        <f>VLOOKUP(I443,'DESCRICAO PRODUTO'!$A:$C,3,0)</f>
        <v>BBS LBL</v>
      </c>
      <c r="L443" s="38">
        <f>228*2</f>
        <v>456</v>
      </c>
      <c r="M443" s="58">
        <v>456</v>
      </c>
      <c r="N443" s="51">
        <f t="shared" si="6"/>
        <v>0</v>
      </c>
      <c r="O443" s="40">
        <v>46253</v>
      </c>
      <c r="P443" s="40">
        <v>46258</v>
      </c>
      <c r="Q443" s="34" t="s">
        <v>505</v>
      </c>
      <c r="R443" s="18" t="s">
        <v>548</v>
      </c>
      <c r="S443" s="18"/>
      <c r="T443" s="18"/>
      <c r="U443" s="33"/>
    </row>
    <row r="444" spans="1:21" ht="15.95" customHeight="1">
      <c r="A444" s="39">
        <v>15</v>
      </c>
      <c r="B444" s="40">
        <v>46245</v>
      </c>
      <c r="C444" s="40" t="s">
        <v>530</v>
      </c>
      <c r="D444" s="40" t="s">
        <v>7</v>
      </c>
      <c r="E444" s="49" t="s">
        <v>113</v>
      </c>
      <c r="F444" s="41" t="s">
        <v>182</v>
      </c>
      <c r="G444" s="41" t="s">
        <v>241</v>
      </c>
      <c r="H444" s="41" t="s">
        <v>479</v>
      </c>
      <c r="I444" s="46" t="s">
        <v>43</v>
      </c>
      <c r="J444" s="46" t="str">
        <f>VLOOKUP(I444,'DESCRICAO PRODUTO'!$A:$C,2,0)</f>
        <v>CAIXA AMPLIFICADA CM-400 BIVOLT .</v>
      </c>
      <c r="K444" s="41" t="str">
        <f>VLOOKUP(I444,'DESCRICAO PRODUTO'!$A:$C,3,0)</f>
        <v>CM 400</v>
      </c>
      <c r="L444" s="38">
        <v>1060</v>
      </c>
      <c r="M444" s="58"/>
      <c r="N444" s="51">
        <f t="shared" si="6"/>
        <v>-1060</v>
      </c>
      <c r="O444" s="40"/>
      <c r="P444" s="40">
        <v>46258</v>
      </c>
      <c r="Q444" s="34" t="s">
        <v>505</v>
      </c>
      <c r="R444" s="18" t="s">
        <v>548</v>
      </c>
      <c r="S444" s="18"/>
      <c r="T444" s="18"/>
      <c r="U444" s="33"/>
    </row>
    <row r="445" spans="1:21" ht="15.95" customHeight="1">
      <c r="A445" s="39">
        <v>15</v>
      </c>
      <c r="B445" s="40">
        <v>46245</v>
      </c>
      <c r="C445" s="40" t="s">
        <v>530</v>
      </c>
      <c r="D445" s="40" t="s">
        <v>7</v>
      </c>
      <c r="E445" s="49" t="s">
        <v>526</v>
      </c>
      <c r="F445" s="41" t="s">
        <v>230</v>
      </c>
      <c r="G445" s="41" t="s">
        <v>241</v>
      </c>
      <c r="H445" s="41" t="s">
        <v>479</v>
      </c>
      <c r="I445" s="46" t="s">
        <v>200</v>
      </c>
      <c r="J445" s="46" t="str">
        <f>VLOOKUP(I445,'DESCRICAO PRODUTO'!$A:$C,2,0)</f>
        <v>CAIXA AMPLIFICADA CM-400-L BIVOLT .</v>
      </c>
      <c r="K445" s="41" t="str">
        <f>VLOOKUP(I445,'DESCRICAO PRODUTO'!$A:$C,3,0)</f>
        <v>CM 400L</v>
      </c>
      <c r="L445" s="38">
        <v>324</v>
      </c>
      <c r="M445" s="58"/>
      <c r="N445" s="51">
        <f t="shared" si="6"/>
        <v>-324</v>
      </c>
      <c r="O445" s="40">
        <v>46253</v>
      </c>
      <c r="P445" s="40">
        <v>46258</v>
      </c>
      <c r="Q445" s="34" t="s">
        <v>505</v>
      </c>
      <c r="R445" s="18" t="s">
        <v>548</v>
      </c>
      <c r="S445" s="18"/>
      <c r="T445" s="18"/>
      <c r="U445" s="33"/>
    </row>
    <row r="446" spans="1:21" ht="15.95" customHeight="1">
      <c r="A446" s="39">
        <v>15</v>
      </c>
      <c r="B446" s="40">
        <v>46245</v>
      </c>
      <c r="C446" s="40" t="s">
        <v>530</v>
      </c>
      <c r="D446" s="40" t="s">
        <v>7</v>
      </c>
      <c r="E446" s="49" t="s">
        <v>331</v>
      </c>
      <c r="F446" s="41" t="s">
        <v>334</v>
      </c>
      <c r="G446" s="41" t="s">
        <v>241</v>
      </c>
      <c r="H446" s="41" t="s">
        <v>480</v>
      </c>
      <c r="I446" s="46" t="s">
        <v>200</v>
      </c>
      <c r="J446" s="46" t="str">
        <f>VLOOKUP(I446,'DESCRICAO PRODUTO'!$A:$C,2,0)</f>
        <v>CAIXA AMPLIFICADA CM-400-L BIVOLT .</v>
      </c>
      <c r="K446" s="41" t="str">
        <f>VLOOKUP(I446,'DESCRICAO PRODUTO'!$A:$C,3,0)</f>
        <v>CM 400L</v>
      </c>
      <c r="L446" s="38">
        <v>81</v>
      </c>
      <c r="M446" s="58"/>
      <c r="N446" s="51">
        <f t="shared" si="6"/>
        <v>-81</v>
      </c>
      <c r="O446" s="40"/>
      <c r="P446" s="40"/>
      <c r="Q446" s="34" t="s">
        <v>4</v>
      </c>
      <c r="R446" s="18" t="s">
        <v>549</v>
      </c>
      <c r="S446" s="18"/>
      <c r="T446" s="18"/>
      <c r="U446" s="33"/>
    </row>
    <row r="447" spans="1:21" ht="15.95" customHeight="1">
      <c r="A447" s="39">
        <v>15</v>
      </c>
      <c r="B447" s="40">
        <v>46245</v>
      </c>
      <c r="C447" s="40" t="s">
        <v>530</v>
      </c>
      <c r="D447" s="40" t="s">
        <v>7</v>
      </c>
      <c r="E447" s="49" t="s">
        <v>535</v>
      </c>
      <c r="F447" s="41" t="s">
        <v>536</v>
      </c>
      <c r="G447" s="41" t="s">
        <v>241</v>
      </c>
      <c r="H447" s="41" t="s">
        <v>479</v>
      </c>
      <c r="I447" s="46" t="s">
        <v>527</v>
      </c>
      <c r="J447" s="46" t="str">
        <f>VLOOKUP(I447,'DESCRICAO PRODUTO'!$A:$C,2,0)</f>
        <v>CAIXA AMPLIFICADA CM-500-N BIV.</v>
      </c>
      <c r="K447" s="41" t="str">
        <f>VLOOKUP(I447,'DESCRICAO PRODUTO'!$A:$C,3,0)</f>
        <v>CM 500N</v>
      </c>
      <c r="L447" s="38">
        <v>1421</v>
      </c>
      <c r="M447" s="58"/>
      <c r="N447" s="51">
        <f t="shared" si="6"/>
        <v>-1421</v>
      </c>
      <c r="O447" s="40">
        <v>46275</v>
      </c>
      <c r="P447" s="40">
        <v>46275</v>
      </c>
      <c r="Q447" s="34" t="s">
        <v>505</v>
      </c>
      <c r="R447" s="18" t="s">
        <v>554</v>
      </c>
      <c r="S447" s="18"/>
      <c r="T447" s="18"/>
      <c r="U447" s="33"/>
    </row>
    <row r="448" spans="1:21" ht="15.95" customHeight="1">
      <c r="A448" s="39">
        <v>15</v>
      </c>
      <c r="B448" s="40">
        <v>46245</v>
      </c>
      <c r="C448" s="40" t="s">
        <v>530</v>
      </c>
      <c r="D448" s="40" t="s">
        <v>7</v>
      </c>
      <c r="E448" s="49" t="s">
        <v>205</v>
      </c>
      <c r="F448" s="41" t="s">
        <v>206</v>
      </c>
      <c r="G448" s="41" t="s">
        <v>241</v>
      </c>
      <c r="H448" s="41" t="s">
        <v>479</v>
      </c>
      <c r="I448" s="46" t="s">
        <v>199</v>
      </c>
      <c r="J448" s="46" t="str">
        <f>VLOOKUP(I448,'DESCRICAO PRODUTO'!$A:$C,2,0)</f>
        <v>CAIXA AMPLIFICADA CM-550-L BIVOLT .</v>
      </c>
      <c r="K448" s="41" t="str">
        <f>VLOOKUP(I448,'DESCRICAO PRODUTO'!$A:$C,3,0)</f>
        <v>CM 550L</v>
      </c>
      <c r="L448" s="38">
        <v>1330</v>
      </c>
      <c r="M448" s="58"/>
      <c r="N448" s="51">
        <f t="shared" si="6"/>
        <v>-1330</v>
      </c>
      <c r="O448" s="40">
        <v>46286</v>
      </c>
      <c r="P448" s="40">
        <v>46286</v>
      </c>
      <c r="Q448" s="34" t="s">
        <v>505</v>
      </c>
      <c r="R448" s="18" t="s">
        <v>554</v>
      </c>
      <c r="S448" s="18"/>
      <c r="T448" s="18"/>
      <c r="U448" s="33"/>
    </row>
    <row r="449" spans="1:21" ht="15.95" customHeight="1">
      <c r="A449" s="39">
        <v>15</v>
      </c>
      <c r="B449" s="40">
        <v>46245</v>
      </c>
      <c r="C449" s="40" t="s">
        <v>530</v>
      </c>
      <c r="D449" s="40" t="s">
        <v>7</v>
      </c>
      <c r="E449" s="49" t="s">
        <v>501</v>
      </c>
      <c r="F449" s="41" t="s">
        <v>502</v>
      </c>
      <c r="G449" s="41" t="s">
        <v>241</v>
      </c>
      <c r="H449" s="41" t="s">
        <v>479</v>
      </c>
      <c r="I449" s="46" t="s">
        <v>349</v>
      </c>
      <c r="J449" s="46" t="str">
        <f>VLOOKUP(I449,'DESCRICAO PRODUTO'!$A:$C,2,0)</f>
        <v>CAIXA AMPLIFICADA CM-650-N BIV.</v>
      </c>
      <c r="K449" s="41" t="str">
        <f>VLOOKUP(I449,'DESCRICAO PRODUTO'!$A:$C,3,0)</f>
        <v>CM650N</v>
      </c>
      <c r="L449" s="38">
        <v>85</v>
      </c>
      <c r="M449" s="58">
        <v>85</v>
      </c>
      <c r="N449" s="51">
        <f t="shared" si="6"/>
        <v>0</v>
      </c>
      <c r="O449" s="40">
        <v>46252</v>
      </c>
      <c r="P449" s="40">
        <v>46253</v>
      </c>
      <c r="Q449" s="34" t="s">
        <v>455</v>
      </c>
      <c r="R449" s="18" t="s">
        <v>539</v>
      </c>
      <c r="S449" s="18">
        <v>31242</v>
      </c>
      <c r="T449" s="18" t="s">
        <v>559</v>
      </c>
      <c r="U449" s="33">
        <v>46269</v>
      </c>
    </row>
    <row r="450" spans="1:21" ht="15.95" customHeight="1">
      <c r="A450" s="39">
        <v>15</v>
      </c>
      <c r="B450" s="40">
        <v>46245</v>
      </c>
      <c r="C450" s="40" t="s">
        <v>530</v>
      </c>
      <c r="D450" s="40" t="s">
        <v>7</v>
      </c>
      <c r="E450" s="49" t="s">
        <v>317</v>
      </c>
      <c r="F450" s="41" t="s">
        <v>184</v>
      </c>
      <c r="G450" s="41" t="s">
        <v>241</v>
      </c>
      <c r="H450" s="41" t="s">
        <v>479</v>
      </c>
      <c r="I450" s="46" t="s">
        <v>90</v>
      </c>
      <c r="J450" s="46" t="str">
        <f>VLOOKUP(I450,'DESCRICAO PRODUTO'!$A:$C,2,0)</f>
        <v>TV 32 ANDROID BORD INF AWS-TV-32-BL-02-A</v>
      </c>
      <c r="K450" s="41" t="str">
        <f>VLOOKUP(I450,'DESCRICAO PRODUTO'!$A:$C,3,0)</f>
        <v>TV 32 ANDROID</v>
      </c>
      <c r="L450" s="38">
        <v>1781</v>
      </c>
      <c r="M450" s="58"/>
      <c r="N450" s="51">
        <f t="shared" ref="N450:N513" si="7">M450-L450</f>
        <v>-1781</v>
      </c>
      <c r="O450" s="40">
        <v>46253</v>
      </c>
      <c r="P450" s="40">
        <v>46258</v>
      </c>
      <c r="Q450" s="34" t="s">
        <v>505</v>
      </c>
      <c r="R450" s="18" t="s">
        <v>548</v>
      </c>
      <c r="S450" s="18"/>
      <c r="T450" s="18"/>
      <c r="U450" s="33"/>
    </row>
    <row r="451" spans="1:21" ht="15.95" customHeight="1">
      <c r="A451" s="39">
        <v>15</v>
      </c>
      <c r="B451" s="40">
        <v>46245</v>
      </c>
      <c r="C451" s="40" t="s">
        <v>530</v>
      </c>
      <c r="D451" s="40" t="s">
        <v>7</v>
      </c>
      <c r="E451" s="49" t="s">
        <v>555</v>
      </c>
      <c r="F451" s="41" t="s">
        <v>502</v>
      </c>
      <c r="G451" s="41" t="s">
        <v>241</v>
      </c>
      <c r="H451" s="41" t="s">
        <v>479</v>
      </c>
      <c r="I451" s="46" t="s">
        <v>349</v>
      </c>
      <c r="J451" s="46" t="str">
        <f>VLOOKUP(I451,'DESCRICAO PRODUTO'!$A:$C,2,0)</f>
        <v>CAIXA AMPLIFICADA CM-650-N BIV.</v>
      </c>
      <c r="K451" s="41" t="str">
        <f>VLOOKUP(I451,'DESCRICAO PRODUTO'!$A:$C,3,0)</f>
        <v>CM650N</v>
      </c>
      <c r="L451" s="38">
        <v>167</v>
      </c>
      <c r="M451" s="58"/>
      <c r="N451" s="51">
        <f t="shared" si="7"/>
        <v>-167</v>
      </c>
      <c r="O451" s="40"/>
      <c r="P451" s="40">
        <v>46258</v>
      </c>
      <c r="Q451" s="34" t="s">
        <v>505</v>
      </c>
      <c r="R451" s="18" t="s">
        <v>548</v>
      </c>
      <c r="S451" s="18"/>
      <c r="T451" s="18"/>
      <c r="U451" s="33"/>
    </row>
    <row r="452" spans="1:21" ht="15.95" customHeight="1">
      <c r="A452" s="39"/>
      <c r="B452" s="40"/>
      <c r="C452" s="40"/>
      <c r="D452" s="40"/>
      <c r="E452" s="49"/>
      <c r="F452" s="41"/>
      <c r="G452" s="41"/>
      <c r="H452" s="41"/>
      <c r="I452" s="46"/>
      <c r="J452" s="46"/>
      <c r="K452" s="41"/>
      <c r="L452" s="38"/>
      <c r="M452" s="58"/>
      <c r="N452" s="51"/>
      <c r="O452" s="40"/>
      <c r="P452" s="40"/>
      <c r="Q452" s="34"/>
      <c r="R452" s="18"/>
      <c r="S452" s="18"/>
      <c r="T452" s="18"/>
      <c r="U452" s="33"/>
    </row>
    <row r="453" spans="1:21" ht="15">
      <c r="A453" s="39"/>
      <c r="B453" s="40"/>
      <c r="C453" s="40"/>
      <c r="D453" s="40"/>
      <c r="E453" s="49"/>
      <c r="F453" s="41"/>
      <c r="G453" s="41"/>
      <c r="H453" s="41"/>
      <c r="I453" s="46"/>
      <c r="J453" s="46"/>
      <c r="K453" s="41"/>
      <c r="L453" s="38"/>
      <c r="M453" s="58"/>
      <c r="N453" s="51"/>
      <c r="O453" s="40"/>
      <c r="P453" s="40"/>
      <c r="Q453" s="34"/>
      <c r="R453" s="18"/>
      <c r="S453" s="18"/>
      <c r="T453" s="18"/>
      <c r="U453" s="33"/>
    </row>
    <row r="454" spans="1:21" ht="15">
      <c r="A454" s="39"/>
      <c r="B454" s="40"/>
      <c r="C454" s="40"/>
      <c r="D454" s="40"/>
      <c r="E454" s="49"/>
      <c r="F454" s="41"/>
      <c r="G454" s="41"/>
      <c r="H454" s="41"/>
      <c r="I454" s="46"/>
      <c r="J454" s="46"/>
      <c r="K454" s="41"/>
      <c r="L454" s="38"/>
      <c r="M454" s="58"/>
      <c r="N454" s="51"/>
      <c r="O454" s="40"/>
      <c r="P454" s="40"/>
      <c r="Q454" s="34"/>
      <c r="R454" s="18"/>
      <c r="S454" s="18"/>
      <c r="T454" s="18"/>
      <c r="U454" s="33"/>
    </row>
    <row r="455" spans="1:21" ht="15">
      <c r="A455" s="39"/>
      <c r="B455" s="40"/>
      <c r="C455" s="40"/>
      <c r="D455" s="40"/>
      <c r="E455" s="49"/>
      <c r="F455" s="41"/>
      <c r="G455" s="41"/>
      <c r="H455" s="41"/>
      <c r="I455" s="46"/>
      <c r="J455" s="46"/>
      <c r="K455" s="41"/>
      <c r="L455" s="38"/>
      <c r="M455" s="58"/>
      <c r="N455" s="51"/>
      <c r="O455" s="40"/>
      <c r="P455" s="40"/>
      <c r="Q455" s="34"/>
      <c r="R455" s="18"/>
      <c r="S455" s="18"/>
      <c r="T455" s="18"/>
      <c r="U455" s="33"/>
    </row>
    <row r="457" spans="1:21">
      <c r="L457" s="42"/>
    </row>
    <row r="459" spans="1:21">
      <c r="M459" s="59"/>
    </row>
    <row r="462" spans="1:21">
      <c r="L462" s="42"/>
    </row>
  </sheetData>
  <autoFilter ref="A1:U451" xr:uid="{CFF37099-EF99-4681-9437-6D3ACEAFBA48}"/>
  <sortState xmlns:xlrd2="http://schemas.microsoft.com/office/spreadsheetml/2017/richdata2" ref="A2:U451">
    <sortCondition ref="A2:A451"/>
  </sortState>
  <phoneticPr fontId="2" type="noConversion"/>
  <conditionalFormatting sqref="Q2:Q455">
    <cfRule type="cellIs" dxfId="2" priority="1" operator="equal">
      <formula>"INATIVO"</formula>
    </cfRule>
    <cfRule type="cellIs" dxfId="1" priority="2" operator="equal">
      <formula>"FINALIZADO"</formula>
    </cfRule>
  </conditionalFormatting>
  <dataValidations count="2">
    <dataValidation type="list" allowBlank="1" showInputMessage="1" showErrorMessage="1" sqref="H2:H452" xr:uid="{C9ECE6CA-77DF-4DB1-8657-9EAAD1E9CC8C}">
      <formula1>"CAIXA INDIVIDUAL,CAIXA COLETIVA,CALÇO,LACRE,ROTULO"</formula1>
    </dataValidation>
    <dataValidation type="list" allowBlank="1" showInputMessage="1" showErrorMessage="1" sqref="Q2:Q452" xr:uid="{74EB4F6D-770E-43E8-95BA-FD5BAF35A436}">
      <formula1>"ANDAMENTO,PROGRAMADO,FINALIZADO,PENDENTE,INATIVO"</formula1>
    </dataValidation>
  </dataValidations>
  <pageMargins left="0.7" right="0.7" top="0.75" bottom="0.75" header="0.3" footer="0.3"/>
  <pageSetup paperSize="9" scale="1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9BC4-C101-4BF4-89C9-FBD6558B6CCD}">
  <dimension ref="A1:H26"/>
  <sheetViews>
    <sheetView workbookViewId="0">
      <selection activeCell="C25" sqref="C25"/>
    </sheetView>
  </sheetViews>
  <sheetFormatPr defaultRowHeight="14.25"/>
  <cols>
    <col min="1" max="1" width="34.625" customWidth="1"/>
    <col min="2" max="2" width="52.25" customWidth="1"/>
    <col min="3" max="3" width="29.875" customWidth="1"/>
    <col min="4" max="5" width="18.875" customWidth="1"/>
    <col min="6" max="6" width="18.375" customWidth="1"/>
    <col min="7" max="7" width="54.125" customWidth="1"/>
    <col min="8" max="8" width="13.75" customWidth="1"/>
  </cols>
  <sheetData>
    <row r="1" spans="1:8" ht="31.5">
      <c r="A1" s="16" t="s">
        <v>1</v>
      </c>
      <c r="B1" s="16" t="s">
        <v>166</v>
      </c>
      <c r="C1" s="44" t="s">
        <v>508</v>
      </c>
      <c r="D1" s="10" t="s">
        <v>232</v>
      </c>
      <c r="E1" s="10" t="s">
        <v>478</v>
      </c>
      <c r="F1" s="10" t="s">
        <v>3</v>
      </c>
      <c r="G1" s="10" t="s">
        <v>167</v>
      </c>
      <c r="H1" s="10" t="s">
        <v>2</v>
      </c>
    </row>
    <row r="2" spans="1:8">
      <c r="A2" s="11" t="s">
        <v>123</v>
      </c>
      <c r="B2" s="8" t="s">
        <v>183</v>
      </c>
      <c r="C2" s="45">
        <v>300</v>
      </c>
      <c r="D2" s="8" t="s">
        <v>241</v>
      </c>
      <c r="E2" s="8" t="s">
        <v>479</v>
      </c>
      <c r="F2" s="9" t="s">
        <v>86</v>
      </c>
      <c r="G2" s="9" t="str">
        <f>VLOOKUP(F2,'[1]DESCRICAO PRODUTO'!$A:$C,2,0)</f>
        <v>BOOMBOX C/ LUZES AWS-BBS-01-LBL BIVOLT</v>
      </c>
      <c r="H2" s="8" t="str">
        <f>VLOOKUP(F2,'[1]DESCRICAO PRODUTO'!$A:$C,3,0)</f>
        <v>BBS LBL</v>
      </c>
    </row>
    <row r="3" spans="1:8">
      <c r="A3" s="11" t="s">
        <v>34</v>
      </c>
      <c r="B3" s="8" t="s">
        <v>33</v>
      </c>
      <c r="C3" s="45">
        <v>300</v>
      </c>
      <c r="D3" s="8" t="s">
        <v>241</v>
      </c>
      <c r="E3" s="8" t="s">
        <v>479</v>
      </c>
      <c r="F3" s="9" t="s">
        <v>24</v>
      </c>
      <c r="G3" s="9" t="str">
        <f>VLOOKUP(F3,'[1]DESCRICAO PRODUTO'!$A:$C,2,0)</f>
        <v>BOOMBOX AWS-BBS-01-B BIVOLT</v>
      </c>
      <c r="H3" s="8" t="str">
        <f>VLOOKUP(F3,'[1]DESCRICAO PRODUTO'!$A:$C,3,0)</f>
        <v>BBS PRETO</v>
      </c>
    </row>
    <row r="4" spans="1:8" ht="15">
      <c r="A4" s="11" t="s">
        <v>496</v>
      </c>
      <c r="B4" s="13" t="s">
        <v>497</v>
      </c>
      <c r="C4" s="45">
        <v>300</v>
      </c>
      <c r="D4" s="8" t="s">
        <v>241</v>
      </c>
      <c r="E4" s="8" t="s">
        <v>479</v>
      </c>
      <c r="F4" s="9" t="s">
        <v>469</v>
      </c>
      <c r="G4" s="9" t="str">
        <f>VLOOKUP(F4,'[1]DESCRICAO PRODUTO'!$A:$C,2,0)</f>
        <v>CAIXA AMPLIFICADA CM-220-N BIV.</v>
      </c>
      <c r="H4" s="8" t="str">
        <f>VLOOKUP(F4,'[1]DESCRICAO PRODUTO'!$A:$C,3,0)</f>
        <v>CM 220 N</v>
      </c>
    </row>
    <row r="5" spans="1:8">
      <c r="A5" s="11" t="s">
        <v>194</v>
      </c>
      <c r="B5" s="8" t="s">
        <v>195</v>
      </c>
      <c r="C5" s="45">
        <v>180</v>
      </c>
      <c r="D5" s="8" t="s">
        <v>241</v>
      </c>
      <c r="E5" s="8" t="s">
        <v>480</v>
      </c>
      <c r="F5" s="9" t="s">
        <v>47</v>
      </c>
      <c r="G5" s="9" t="str">
        <f>VLOOKUP(F5,'[1]DESCRICAO PRODUTO'!$A:$C,2,0)</f>
        <v>CAIXA AMPLIFICADA CM-250 BIVOLT .</v>
      </c>
      <c r="H5" s="8" t="str">
        <f>VLOOKUP(F5,'[1]DESCRICAO PRODUTO'!$A:$C,3,0)</f>
        <v>CM 250</v>
      </c>
    </row>
    <row r="6" spans="1:8">
      <c r="A6" s="11" t="s">
        <v>231</v>
      </c>
      <c r="B6" s="8" t="s">
        <v>168</v>
      </c>
      <c r="C6" s="45">
        <v>300</v>
      </c>
      <c r="D6" s="8" t="s">
        <v>241</v>
      </c>
      <c r="E6" s="8" t="s">
        <v>479</v>
      </c>
      <c r="F6" s="9" t="s">
        <v>48</v>
      </c>
      <c r="G6" s="9" t="str">
        <f>VLOOKUP(F6,'[1]DESCRICAO PRODUTO'!$A:$C,2,0)</f>
        <v>CAIXA AMPLIFICADA CM-250 BIVOLT .</v>
      </c>
      <c r="H6" s="8" t="str">
        <f>VLOOKUP(F6,'[1]DESCRICAO PRODUTO'!$A:$C,3,0)</f>
        <v>CM 250</v>
      </c>
    </row>
    <row r="7" spans="1:8">
      <c r="A7" s="11" t="s">
        <v>229</v>
      </c>
      <c r="B7" s="8" t="s">
        <v>230</v>
      </c>
      <c r="C7" s="45">
        <v>300</v>
      </c>
      <c r="D7" s="8" t="s">
        <v>241</v>
      </c>
      <c r="E7" s="8" t="s">
        <v>479</v>
      </c>
      <c r="F7" s="9" t="s">
        <v>200</v>
      </c>
      <c r="G7" s="9" t="str">
        <f>VLOOKUP(F7,'[1]DESCRICAO PRODUTO'!$A:$C,2,0)</f>
        <v>CAIXA AMPLIFICADA CM-400-L BIVOLT .</v>
      </c>
      <c r="H7" s="8" t="str">
        <f>VLOOKUP(F7,'[1]DESCRICAO PRODUTO'!$A:$C,3,0)</f>
        <v>CM 400L</v>
      </c>
    </row>
    <row r="8" spans="1:8">
      <c r="A8" s="11" t="s">
        <v>124</v>
      </c>
      <c r="B8" s="8" t="s">
        <v>39</v>
      </c>
      <c r="C8" s="45">
        <v>150</v>
      </c>
      <c r="D8" s="8" t="s">
        <v>241</v>
      </c>
      <c r="E8" s="8" t="s">
        <v>479</v>
      </c>
      <c r="F8" s="9" t="s">
        <v>50</v>
      </c>
      <c r="G8" s="9" t="str">
        <f>VLOOKUP(F8,'[1]DESCRICAO PRODUTO'!$A:$C,2,0)</f>
        <v>CAIXA AMPLIFICADA CM-550 BIVOLT .</v>
      </c>
      <c r="H8" s="8" t="str">
        <f>VLOOKUP(F8,'[1]DESCRICAO PRODUTO'!$A:$C,3,0)</f>
        <v>CM 550</v>
      </c>
    </row>
    <row r="9" spans="1:8">
      <c r="A9" s="11" t="s">
        <v>205</v>
      </c>
      <c r="B9" s="8" t="s">
        <v>206</v>
      </c>
      <c r="C9" s="45">
        <v>150</v>
      </c>
      <c r="D9" s="8" t="s">
        <v>241</v>
      </c>
      <c r="E9" s="8" t="s">
        <v>479</v>
      </c>
      <c r="F9" s="9" t="s">
        <v>199</v>
      </c>
      <c r="G9" s="9" t="str">
        <f>VLOOKUP(F9,'[1]DESCRICAO PRODUTO'!$A:$C,2,0)</f>
        <v>CAIXA AMPLIFICADA CM-550-L BIVOLT .</v>
      </c>
      <c r="H9" s="8" t="str">
        <f>VLOOKUP(F9,'[1]DESCRICAO PRODUTO'!$A:$C,3,0)</f>
        <v>CM 550L</v>
      </c>
    </row>
    <row r="10" spans="1:8" ht="15">
      <c r="A10" s="14" t="s">
        <v>31</v>
      </c>
      <c r="B10" s="8" t="s">
        <v>32</v>
      </c>
      <c r="C10" s="45">
        <v>160</v>
      </c>
      <c r="D10" s="8" t="s">
        <v>241</v>
      </c>
      <c r="E10" s="8" t="s">
        <v>479</v>
      </c>
      <c r="F10" s="8" t="s">
        <v>88</v>
      </c>
      <c r="G10" s="9" t="str">
        <f>VLOOKUP(F10,'[1]DESCRICAO PRODUTO'!$A:$C,2,0)</f>
        <v>CAIXA AMPLIFICADA CM-700 BIVOLT .</v>
      </c>
      <c r="H10" s="8" t="str">
        <f>VLOOKUP(F10,'[1]DESCRICAO PRODUTO'!$A:$C,3,0)</f>
        <v>CM 700</v>
      </c>
    </row>
    <row r="11" spans="1:8" ht="15">
      <c r="A11" s="11" t="s">
        <v>503</v>
      </c>
      <c r="B11" s="13" t="s">
        <v>504</v>
      </c>
      <c r="C11" s="45">
        <v>160</v>
      </c>
      <c r="D11" s="8" t="s">
        <v>241</v>
      </c>
      <c r="E11" s="8" t="s">
        <v>479</v>
      </c>
      <c r="F11" s="9" t="s">
        <v>351</v>
      </c>
      <c r="G11" s="9" t="str">
        <f>VLOOKUP(F11,'[1]DESCRICAO PRODUTO'!$A:$C,2,0)</f>
        <v>CAIXA AMPLIFICADA CM-1000-N BIV.</v>
      </c>
      <c r="H11" s="8" t="str">
        <f>VLOOKUP(F11,'[1]DESCRICAO PRODUTO'!$A:$C,3,0)</f>
        <v>CM1000N</v>
      </c>
    </row>
    <row r="12" spans="1:8">
      <c r="A12" s="11" t="s">
        <v>219</v>
      </c>
      <c r="B12" s="8" t="s">
        <v>193</v>
      </c>
      <c r="C12" s="45">
        <v>160</v>
      </c>
      <c r="D12" s="8" t="s">
        <v>241</v>
      </c>
      <c r="E12" s="8" t="s">
        <v>480</v>
      </c>
      <c r="F12" s="8" t="s">
        <v>70</v>
      </c>
      <c r="G12" s="9" t="str">
        <f>VLOOKUP(F12,'[1]DESCRICAO PRODUTO'!$A:$C,2,0)</f>
        <v>CAIXA AMPLIFICADA CM-150 BIVOLT .</v>
      </c>
      <c r="H12" s="8" t="str">
        <f>VLOOKUP(F12,'[1]DESCRICAO PRODUTO'!$A:$C,3,0)</f>
        <v>CM150</v>
      </c>
    </row>
    <row r="13" spans="1:8">
      <c r="A13" s="11" t="s">
        <v>35</v>
      </c>
      <c r="B13" s="8" t="s">
        <v>36</v>
      </c>
      <c r="C13" s="45">
        <v>300</v>
      </c>
      <c r="D13" s="8" t="s">
        <v>241</v>
      </c>
      <c r="E13" s="8" t="s">
        <v>479</v>
      </c>
      <c r="F13" s="9" t="s">
        <v>70</v>
      </c>
      <c r="G13" s="9" t="str">
        <f>VLOOKUP(F13,'[1]DESCRICAO PRODUTO'!$A:$C,2,0)</f>
        <v>CAIXA AMPLIFICADA CM-150 BIVOLT .</v>
      </c>
      <c r="H13" s="8" t="str">
        <f>VLOOKUP(F13,'[1]DESCRICAO PRODUTO'!$A:$C,3,0)</f>
        <v>CM150</v>
      </c>
    </row>
    <row r="14" spans="1:8">
      <c r="A14" s="11" t="s">
        <v>499</v>
      </c>
      <c r="B14" s="8" t="s">
        <v>500</v>
      </c>
      <c r="C14" s="45">
        <v>300</v>
      </c>
      <c r="D14" s="8" t="s">
        <v>241</v>
      </c>
      <c r="E14" s="8" t="s">
        <v>479</v>
      </c>
      <c r="F14" s="9" t="s">
        <v>346</v>
      </c>
      <c r="G14" s="9" t="str">
        <f>VLOOKUP(F14,'[1]DESCRICAO PRODUTO'!$A:$C,2,0)</f>
        <v>CAIXA AMPLIFICADA CM-300-N BIV.</v>
      </c>
      <c r="H14" s="8" t="str">
        <f>VLOOKUP(F14,'[1]DESCRICAO PRODUTO'!$A:$C,3,0)</f>
        <v>CM300N</v>
      </c>
    </row>
    <row r="15" spans="1:8">
      <c r="A15" s="11" t="s">
        <v>331</v>
      </c>
      <c r="B15" s="8" t="s">
        <v>334</v>
      </c>
      <c r="C15" s="45">
        <v>40</v>
      </c>
      <c r="D15" s="8" t="s">
        <v>241</v>
      </c>
      <c r="E15" s="8" t="s">
        <v>480</v>
      </c>
      <c r="F15" s="9" t="s">
        <v>346</v>
      </c>
      <c r="G15" s="9" t="str">
        <f>VLOOKUP(F15,'[1]DESCRICAO PRODUTO'!$A:$C,2,0)</f>
        <v>CAIXA AMPLIFICADA CM-300-N BIV.</v>
      </c>
      <c r="H15" s="8" t="str">
        <f>VLOOKUP(F15,'[1]DESCRICAO PRODUTO'!$A:$C,3,0)</f>
        <v>CM300N</v>
      </c>
    </row>
    <row r="16" spans="1:8">
      <c r="A16" s="11" t="s">
        <v>303</v>
      </c>
      <c r="B16" s="8" t="s">
        <v>182</v>
      </c>
      <c r="C16" s="45">
        <v>150</v>
      </c>
      <c r="D16" s="8" t="s">
        <v>241</v>
      </c>
      <c r="E16" s="8" t="s">
        <v>479</v>
      </c>
      <c r="F16" s="9" t="s">
        <v>97</v>
      </c>
      <c r="G16" s="9" t="str">
        <f>VLOOKUP(F16,'[1]DESCRICAO PRODUTO'!$A:$C,2,0)</f>
        <v>CAIXA AMPLIFICADA CM-400 BIVOLT .</v>
      </c>
      <c r="H16" s="8" t="s">
        <v>492</v>
      </c>
    </row>
    <row r="17" spans="1:8">
      <c r="A17" s="11" t="s">
        <v>113</v>
      </c>
      <c r="B17" s="8" t="s">
        <v>182</v>
      </c>
      <c r="C17" s="45">
        <v>150</v>
      </c>
      <c r="D17" s="8" t="s">
        <v>241</v>
      </c>
      <c r="E17" s="8" t="s">
        <v>479</v>
      </c>
      <c r="F17" s="9" t="s">
        <v>42</v>
      </c>
      <c r="G17" s="9" t="str">
        <f>VLOOKUP(F17,'[1]DESCRICAO PRODUTO'!$A:$C,2,0)</f>
        <v>CAIXA AMPLIFICADA CM-400 BIVOLT .</v>
      </c>
      <c r="H17" s="8" t="s">
        <v>492</v>
      </c>
    </row>
    <row r="18" spans="1:8" ht="15">
      <c r="A18" s="11" t="s">
        <v>501</v>
      </c>
      <c r="B18" s="13" t="s">
        <v>502</v>
      </c>
      <c r="C18" s="45">
        <v>150</v>
      </c>
      <c r="D18" s="8" t="s">
        <v>241</v>
      </c>
      <c r="E18" s="8" t="s">
        <v>479</v>
      </c>
      <c r="F18" s="9" t="s">
        <v>349</v>
      </c>
      <c r="G18" s="9" t="str">
        <f>VLOOKUP(F18,'[1]DESCRICAO PRODUTO'!$A:$C,2,0)</f>
        <v>CAIXA AMPLIFICADA CM-650-N BIV.</v>
      </c>
      <c r="H18" s="8" t="str">
        <f>VLOOKUP(F18,'[1]DESCRICAO PRODUTO'!$A:$C,3,0)</f>
        <v>CM650N</v>
      </c>
    </row>
    <row r="19" spans="1:8">
      <c r="A19" s="11" t="s">
        <v>11</v>
      </c>
      <c r="B19" s="8" t="s">
        <v>12</v>
      </c>
      <c r="C19" s="45">
        <v>100</v>
      </c>
      <c r="D19" s="8" t="s">
        <v>241</v>
      </c>
      <c r="E19" s="8" t="s">
        <v>479</v>
      </c>
      <c r="F19" s="9" t="s">
        <v>13</v>
      </c>
      <c r="G19" s="9" t="str">
        <f>VLOOKUP(F19,'[1]DESCRICAO PRODUTO'!$A:$C,2,0)</f>
        <v>TORRE DE SOM AWS-T1W-02 BIVOLT BLUETOOTH</v>
      </c>
      <c r="H19" s="8" t="str">
        <f>VLOOKUP(F19,'[1]DESCRICAO PRODUTO'!$A:$C,3,0)</f>
        <v>T1W</v>
      </c>
    </row>
    <row r="20" spans="1:8">
      <c r="A20" s="11" t="s">
        <v>8</v>
      </c>
      <c r="B20" s="8" t="s">
        <v>9</v>
      </c>
      <c r="C20" s="45">
        <v>100</v>
      </c>
      <c r="D20" s="8" t="s">
        <v>241</v>
      </c>
      <c r="E20" s="8" t="s">
        <v>479</v>
      </c>
      <c r="F20" s="9" t="s">
        <v>10</v>
      </c>
      <c r="G20" s="9" t="str">
        <f>VLOOKUP(F20,'[1]DESCRICAO PRODUTO'!$A:$C,2,0)</f>
        <v>TORRE DE SOM AWS-T2W-02 BIVOLT BLUETOOTH</v>
      </c>
      <c r="H20" s="8" t="str">
        <f>VLOOKUP(F20,'[1]DESCRICAO PRODUTO'!$A:$C,3,0)</f>
        <v>T2W</v>
      </c>
    </row>
    <row r="21" spans="1:8">
      <c r="A21" s="11" t="s">
        <v>161</v>
      </c>
      <c r="B21" s="8" t="s">
        <v>192</v>
      </c>
      <c r="C21" s="45">
        <v>100</v>
      </c>
      <c r="D21" s="8" t="s">
        <v>241</v>
      </c>
      <c r="E21" s="8" t="s">
        <v>479</v>
      </c>
      <c r="F21" s="9" t="s">
        <v>160</v>
      </c>
      <c r="G21" s="9" t="str">
        <f>VLOOKUP(F21,'[1]DESCRICAO PRODUTO'!$A:$C,2,0)</f>
        <v>TORRE DE SOM TM2200 BIV</v>
      </c>
      <c r="H21" s="8" t="str">
        <f>VLOOKUP(F21,'[1]DESCRICAO PRODUTO'!$A:$C,3,0)</f>
        <v>TM2200</v>
      </c>
    </row>
    <row r="22" spans="1:8" ht="28.5">
      <c r="A22" s="11" t="s">
        <v>317</v>
      </c>
      <c r="B22" s="8" t="s">
        <v>184</v>
      </c>
      <c r="C22" s="45">
        <v>300</v>
      </c>
      <c r="D22" s="8" t="s">
        <v>241</v>
      </c>
      <c r="E22" s="8" t="s">
        <v>479</v>
      </c>
      <c r="F22" s="9" t="s">
        <v>141</v>
      </c>
      <c r="G22" s="9" t="str">
        <f>VLOOKUP(F22,'[1]DESCRICAO PRODUTO'!$A:$C,2,0)</f>
        <v>TV 32 ANDROID BORD INF AWS-TV-32-BL-02-A</v>
      </c>
      <c r="H22" s="8" t="str">
        <f>VLOOKUP(F22,'[1]DESCRICAO PRODUTO'!$A:$C,3,0)</f>
        <v>TV 32 ANDROID</v>
      </c>
    </row>
    <row r="23" spans="1:8" ht="28.5">
      <c r="A23" s="11" t="s">
        <v>330</v>
      </c>
      <c r="B23" s="8" t="s">
        <v>30</v>
      </c>
      <c r="C23" s="45">
        <v>150</v>
      </c>
      <c r="D23" s="8" t="s">
        <v>241</v>
      </c>
      <c r="E23" s="8" t="s">
        <v>479</v>
      </c>
      <c r="F23" s="8" t="s">
        <v>93</v>
      </c>
      <c r="G23" s="9" t="str">
        <f>VLOOKUP(F23,'[1]DESCRICAO PRODUTO'!$A:$C,2,0)</f>
        <v>TV 43 ANDROID BORD INF AWS-TV-43-BL-02-A</v>
      </c>
      <c r="H23" s="8" t="str">
        <f>VLOOKUP(F23,'[1]DESCRICAO PRODUTO'!$A:$C,3,0)</f>
        <v>TV 43 ANDROID</v>
      </c>
    </row>
    <row r="24" spans="1:8" ht="15">
      <c r="A24" s="11" t="s">
        <v>494</v>
      </c>
      <c r="B24" s="13" t="s">
        <v>495</v>
      </c>
      <c r="C24" s="45">
        <v>150</v>
      </c>
      <c r="D24" s="8" t="s">
        <v>241</v>
      </c>
      <c r="E24" s="8" t="s">
        <v>479</v>
      </c>
      <c r="F24" s="9" t="s">
        <v>466</v>
      </c>
      <c r="G24" s="9" t="str">
        <f>VLOOKUP(F24,'[1]DESCRICAO PRODUTO'!$A:$C,2,0)</f>
        <v>TV 43 SMART AWS-TV-43-BL-01</v>
      </c>
      <c r="H24" s="8" t="str">
        <f>VLOOKUP(F24,'[1]DESCRICAO PRODUTO'!$A:$C,3,0)</f>
        <v xml:space="preserve">TV 43 BL </v>
      </c>
    </row>
    <row r="25" spans="1:8" ht="28.5">
      <c r="A25" s="11" t="s">
        <v>235</v>
      </c>
      <c r="B25" s="8" t="s">
        <v>462</v>
      </c>
      <c r="C25" s="45">
        <v>130</v>
      </c>
      <c r="D25" s="8" t="s">
        <v>241</v>
      </c>
      <c r="E25" s="8" t="s">
        <v>479</v>
      </c>
      <c r="F25" s="9" t="s">
        <v>139</v>
      </c>
      <c r="G25" s="9" t="str">
        <f>VLOOKUP(F25,'[1]DESCRICAO PRODUTO'!$A:$C,2,0)</f>
        <v>TV 50 ANDROID BORD INF AWS-TV-50-BL-02-A</v>
      </c>
      <c r="H25" s="8" t="str">
        <f>VLOOKUP(F25,'[1]DESCRICAO PRODUTO'!$A:$C,3,0)</f>
        <v>TV 50 ANDROID</v>
      </c>
    </row>
    <row r="26" spans="1:8" ht="28.5">
      <c r="A26" s="11" t="s">
        <v>236</v>
      </c>
      <c r="B26" s="8" t="s">
        <v>38</v>
      </c>
      <c r="C26" s="45">
        <v>135</v>
      </c>
      <c r="D26" s="8" t="s">
        <v>241</v>
      </c>
      <c r="E26" s="8" t="s">
        <v>479</v>
      </c>
      <c r="F26" s="8" t="s">
        <v>26</v>
      </c>
      <c r="G26" s="9" t="str">
        <f>VLOOKUP(F26,'[1]DESCRICAO PRODUTO'!$A:$C,2,0)</f>
        <v>TV 55 ANDROID AWS-TV-55-BL-01</v>
      </c>
      <c r="H26" s="8" t="str">
        <f>VLOOKUP(F26,'[1]DESCRICAO PRODUTO'!$A:$C,3,0)</f>
        <v>TV 55 ANDROID</v>
      </c>
    </row>
  </sheetData>
  <sortState xmlns:xlrd2="http://schemas.microsoft.com/office/spreadsheetml/2017/richdata2" ref="A2:H26">
    <sortCondition ref="H2:H26"/>
  </sortState>
  <conditionalFormatting sqref="A2:A26">
    <cfRule type="duplicateValues" dxfId="0" priority="1"/>
  </conditionalFormatting>
  <dataValidations count="1">
    <dataValidation type="list" allowBlank="1" showInputMessage="1" showErrorMessage="1" sqref="E2:E26" xr:uid="{5137F243-37D7-48DD-9B83-950F5A29C237}">
      <formula1>"CAIXA INDIVIDUAL,CAIXA COLETIVA,CALÇO,LACRE,ROTULO"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071D2-7C6D-4317-979C-D89DF5FB9335}">
  <dimension ref="A1:AD10"/>
  <sheetViews>
    <sheetView workbookViewId="0">
      <selection activeCell="AA21" sqref="AA21"/>
    </sheetView>
  </sheetViews>
  <sheetFormatPr defaultRowHeight="14.25"/>
  <cols>
    <col min="1" max="1" width="20.625" bestFit="1" customWidth="1"/>
    <col min="2" max="2" width="12.125" bestFit="1" customWidth="1"/>
    <col min="3" max="3" width="12.375" customWidth="1"/>
    <col min="4" max="21" width="10.375" hidden="1" customWidth="1"/>
    <col min="22" max="28" width="10.375" bestFit="1" customWidth="1"/>
    <col min="29" max="29" width="9.375" customWidth="1"/>
    <col min="30" max="30" width="10.75" bestFit="1" customWidth="1"/>
    <col min="31" max="31" width="7" bestFit="1" customWidth="1"/>
    <col min="32" max="32" width="10.75" bestFit="1" customWidth="1"/>
    <col min="33" max="33" width="20.625" bestFit="1" customWidth="1"/>
    <col min="34" max="34" width="17.75" bestFit="1" customWidth="1"/>
    <col min="35" max="35" width="20.625" bestFit="1" customWidth="1"/>
    <col min="36" max="36" width="17.75" bestFit="1" customWidth="1"/>
    <col min="37" max="37" width="20.625" bestFit="1" customWidth="1"/>
    <col min="38" max="38" width="17.75" bestFit="1" customWidth="1"/>
    <col min="39" max="39" width="20.625" bestFit="1" customWidth="1"/>
    <col min="40" max="40" width="17.75" bestFit="1" customWidth="1"/>
    <col min="41" max="41" width="20.625" bestFit="1" customWidth="1"/>
    <col min="42" max="42" width="17.75" bestFit="1" customWidth="1"/>
    <col min="43" max="43" width="20.625" bestFit="1" customWidth="1"/>
    <col min="44" max="44" width="17.75" bestFit="1" customWidth="1"/>
    <col min="45" max="45" width="20.625" bestFit="1" customWidth="1"/>
    <col min="46" max="46" width="17.75" bestFit="1" customWidth="1"/>
    <col min="47" max="47" width="20.625" bestFit="1" customWidth="1"/>
    <col min="48" max="48" width="17.75" bestFit="1" customWidth="1"/>
    <col min="49" max="49" width="20.625" bestFit="1" customWidth="1"/>
    <col min="50" max="50" width="17.75" bestFit="1" customWidth="1"/>
    <col min="51" max="51" width="20.625" bestFit="1" customWidth="1"/>
    <col min="52" max="52" width="17.75" bestFit="1" customWidth="1"/>
    <col min="53" max="53" width="20.625" bestFit="1" customWidth="1"/>
    <col min="54" max="54" width="17.75" bestFit="1" customWidth="1"/>
    <col min="55" max="55" width="20.625" bestFit="1" customWidth="1"/>
    <col min="56" max="56" width="22.75" bestFit="1" customWidth="1"/>
    <col min="57" max="57" width="25.75" bestFit="1" customWidth="1"/>
    <col min="58" max="103" width="4" bestFit="1" customWidth="1"/>
    <col min="104" max="114" width="5" bestFit="1" customWidth="1"/>
    <col min="115" max="115" width="7" bestFit="1" customWidth="1"/>
    <col min="116" max="116" width="10.75" bestFit="1" customWidth="1"/>
  </cols>
  <sheetData>
    <row r="1" spans="1:30">
      <c r="A1" s="37" t="s">
        <v>164</v>
      </c>
      <c r="B1" t="s">
        <v>493</v>
      </c>
    </row>
    <row r="3" spans="1:30">
      <c r="A3" s="37" t="s">
        <v>485</v>
      </c>
      <c r="C3" s="37" t="s">
        <v>520</v>
      </c>
    </row>
    <row r="4" spans="1:30">
      <c r="A4" s="21" t="s">
        <v>157</v>
      </c>
      <c r="B4" s="21" t="s">
        <v>232</v>
      </c>
      <c r="C4" s="1" t="s">
        <v>472</v>
      </c>
      <c r="D4" s="43">
        <v>46091</v>
      </c>
      <c r="E4" s="43">
        <v>46104</v>
      </c>
      <c r="F4" s="43">
        <v>46106</v>
      </c>
      <c r="G4" s="43">
        <v>46107</v>
      </c>
      <c r="H4" s="43">
        <v>46108</v>
      </c>
      <c r="I4" s="43">
        <v>46122</v>
      </c>
      <c r="J4" s="43">
        <v>46125</v>
      </c>
      <c r="K4" s="43">
        <v>46136</v>
      </c>
      <c r="L4" s="43">
        <v>46160</v>
      </c>
      <c r="M4" s="43">
        <v>46163</v>
      </c>
      <c r="N4" s="43">
        <v>46167</v>
      </c>
      <c r="O4" s="43">
        <v>46168</v>
      </c>
      <c r="P4" s="43">
        <v>46169</v>
      </c>
      <c r="Q4" s="43">
        <v>46192</v>
      </c>
      <c r="R4" s="43">
        <v>46204</v>
      </c>
      <c r="S4" s="43">
        <v>46218</v>
      </c>
      <c r="T4" s="43">
        <v>46245</v>
      </c>
      <c r="U4" s="43">
        <v>46247</v>
      </c>
      <c r="V4" s="43">
        <v>46253</v>
      </c>
      <c r="W4" s="43">
        <v>46258</v>
      </c>
      <c r="X4" s="43">
        <v>46261</v>
      </c>
      <c r="Y4" s="43">
        <v>46265</v>
      </c>
      <c r="Z4" s="43">
        <v>46269</v>
      </c>
      <c r="AA4" s="43">
        <v>46275</v>
      </c>
      <c r="AB4" s="43">
        <v>46286</v>
      </c>
      <c r="AC4" s="1" t="s">
        <v>521</v>
      </c>
      <c r="AD4" s="1" t="s">
        <v>159</v>
      </c>
    </row>
    <row r="5" spans="1:30">
      <c r="A5" s="1" t="s">
        <v>7</v>
      </c>
      <c r="B5" s="1" t="s">
        <v>241</v>
      </c>
      <c r="C5" s="36">
        <v>1213</v>
      </c>
      <c r="D5" s="36">
        <v>173</v>
      </c>
      <c r="E5" s="36">
        <v>1686</v>
      </c>
      <c r="F5" s="36"/>
      <c r="G5" s="36">
        <v>3232</v>
      </c>
      <c r="H5" s="36">
        <v>3329</v>
      </c>
      <c r="I5" s="36">
        <v>1783</v>
      </c>
      <c r="J5" s="36">
        <v>1600</v>
      </c>
      <c r="K5" s="36">
        <v>1936</v>
      </c>
      <c r="L5" s="36">
        <v>1486</v>
      </c>
      <c r="M5" s="36"/>
      <c r="N5" s="36"/>
      <c r="O5" s="36">
        <v>2062</v>
      </c>
      <c r="P5" s="36"/>
      <c r="Q5" s="36"/>
      <c r="R5" s="36">
        <v>2550</v>
      </c>
      <c r="S5" s="36"/>
      <c r="T5" s="36">
        <v>965</v>
      </c>
      <c r="U5" s="36">
        <v>4707</v>
      </c>
      <c r="V5" s="36">
        <v>1117</v>
      </c>
      <c r="W5" s="36">
        <v>7761</v>
      </c>
      <c r="X5" s="36">
        <v>2000</v>
      </c>
      <c r="Y5" s="36"/>
      <c r="Z5" s="36">
        <v>4502</v>
      </c>
      <c r="AA5" s="36">
        <v>1421</v>
      </c>
      <c r="AB5" s="36">
        <v>1332</v>
      </c>
      <c r="AC5" s="36">
        <v>2323</v>
      </c>
      <c r="AD5" s="36">
        <v>47178</v>
      </c>
    </row>
    <row r="6" spans="1:30">
      <c r="A6" s="1"/>
      <c r="B6" s="1" t="s">
        <v>233</v>
      </c>
      <c r="C6" s="36"/>
      <c r="D6" s="36">
        <v>346</v>
      </c>
      <c r="E6" s="36"/>
      <c r="F6" s="36">
        <v>3432</v>
      </c>
      <c r="G6" s="36"/>
      <c r="H6" s="36">
        <v>1143</v>
      </c>
      <c r="I6" s="36">
        <v>2208</v>
      </c>
      <c r="J6" s="36">
        <v>3200</v>
      </c>
      <c r="K6" s="36">
        <v>1042</v>
      </c>
      <c r="L6" s="36"/>
      <c r="M6" s="36">
        <v>2880</v>
      </c>
      <c r="N6" s="36">
        <v>344</v>
      </c>
      <c r="O6" s="36">
        <v>1344</v>
      </c>
      <c r="P6" s="36"/>
      <c r="Q6" s="36"/>
      <c r="R6" s="36"/>
      <c r="S6" s="36"/>
      <c r="T6" s="36">
        <v>6364</v>
      </c>
      <c r="U6" s="36">
        <v>3907</v>
      </c>
      <c r="V6" s="36">
        <v>412</v>
      </c>
      <c r="W6" s="36">
        <v>11649</v>
      </c>
      <c r="X6" s="36"/>
      <c r="Y6" s="36">
        <v>2944</v>
      </c>
      <c r="Z6" s="36"/>
      <c r="AA6" s="36"/>
      <c r="AB6" s="36"/>
      <c r="AC6" s="36">
        <v>1226</v>
      </c>
      <c r="AD6" s="36">
        <v>42441</v>
      </c>
    </row>
    <row r="7" spans="1:30">
      <c r="A7" s="1" t="s">
        <v>457</v>
      </c>
      <c r="B7" s="1" t="s">
        <v>233</v>
      </c>
      <c r="C7" s="36"/>
      <c r="D7" s="36"/>
      <c r="E7" s="36"/>
      <c r="F7" s="36"/>
      <c r="G7" s="36"/>
      <c r="H7" s="36"/>
      <c r="I7" s="36"/>
      <c r="J7" s="36"/>
      <c r="K7" s="36">
        <v>12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>
        <v>12</v>
      </c>
    </row>
    <row r="8" spans="1:30">
      <c r="A8" s="1" t="s">
        <v>339</v>
      </c>
      <c r="B8" s="1" t="s">
        <v>241</v>
      </c>
      <c r="C8" s="36"/>
      <c r="D8" s="36"/>
      <c r="E8" s="36"/>
      <c r="F8" s="36"/>
      <c r="G8" s="36"/>
      <c r="H8" s="36"/>
      <c r="I8" s="36"/>
      <c r="J8" s="36"/>
      <c r="K8" s="36"/>
      <c r="L8" s="36">
        <v>1757</v>
      </c>
      <c r="M8" s="36"/>
      <c r="N8" s="36"/>
      <c r="O8" s="36"/>
      <c r="P8" s="36">
        <v>2000</v>
      </c>
      <c r="Q8" s="36">
        <v>1300</v>
      </c>
      <c r="R8" s="36">
        <v>500</v>
      </c>
      <c r="S8" s="36"/>
      <c r="T8" s="36">
        <v>535</v>
      </c>
      <c r="U8" s="36">
        <v>1268</v>
      </c>
      <c r="V8" s="36">
        <v>2785</v>
      </c>
      <c r="W8" s="36">
        <v>464</v>
      </c>
      <c r="X8" s="36"/>
      <c r="Y8" s="36"/>
      <c r="Z8" s="36">
        <v>300</v>
      </c>
      <c r="AA8" s="36"/>
      <c r="AB8" s="36">
        <v>1310</v>
      </c>
      <c r="AC8" s="36">
        <v>2881</v>
      </c>
      <c r="AD8" s="36">
        <v>15100</v>
      </c>
    </row>
    <row r="9" spans="1:30">
      <c r="A9" s="1"/>
      <c r="B9" s="1" t="s">
        <v>233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>
        <v>400</v>
      </c>
      <c r="R9" s="36"/>
      <c r="S9" s="36">
        <v>4500</v>
      </c>
      <c r="T9" s="36">
        <v>148</v>
      </c>
      <c r="U9" s="36">
        <v>136</v>
      </c>
      <c r="V9" s="36">
        <v>590</v>
      </c>
      <c r="W9" s="36">
        <v>292</v>
      </c>
      <c r="X9" s="36"/>
      <c r="Y9" s="36">
        <v>1410</v>
      </c>
      <c r="Z9" s="36"/>
      <c r="AA9" s="36"/>
      <c r="AB9" s="36"/>
      <c r="AC9" s="36">
        <v>306</v>
      </c>
      <c r="AD9" s="36">
        <v>7782</v>
      </c>
    </row>
    <row r="10" spans="1:30">
      <c r="A10" s="1" t="s">
        <v>159</v>
      </c>
      <c r="B10" s="1"/>
      <c r="C10" s="36">
        <v>1213</v>
      </c>
      <c r="D10" s="36">
        <v>519</v>
      </c>
      <c r="E10" s="36">
        <v>1686</v>
      </c>
      <c r="F10" s="36">
        <v>3432</v>
      </c>
      <c r="G10" s="36">
        <v>3232</v>
      </c>
      <c r="H10" s="36">
        <v>4472</v>
      </c>
      <c r="I10" s="36">
        <v>3991</v>
      </c>
      <c r="J10" s="36">
        <v>4800</v>
      </c>
      <c r="K10" s="36">
        <v>2990</v>
      </c>
      <c r="L10" s="36">
        <v>3243</v>
      </c>
      <c r="M10" s="36">
        <v>2880</v>
      </c>
      <c r="N10" s="36">
        <v>344</v>
      </c>
      <c r="O10" s="36">
        <v>3406</v>
      </c>
      <c r="P10" s="36">
        <v>2000</v>
      </c>
      <c r="Q10" s="36">
        <v>1700</v>
      </c>
      <c r="R10" s="36">
        <v>3050</v>
      </c>
      <c r="S10" s="36">
        <v>4500</v>
      </c>
      <c r="T10" s="36">
        <v>8012</v>
      </c>
      <c r="U10" s="36">
        <v>10018</v>
      </c>
      <c r="V10" s="36">
        <v>4904</v>
      </c>
      <c r="W10" s="36">
        <v>20166</v>
      </c>
      <c r="X10" s="36">
        <v>2000</v>
      </c>
      <c r="Y10" s="36">
        <v>4354</v>
      </c>
      <c r="Z10" s="36">
        <v>4802</v>
      </c>
      <c r="AA10" s="36">
        <v>1421</v>
      </c>
      <c r="AB10" s="36">
        <v>2642</v>
      </c>
      <c r="AC10" s="36">
        <v>6736</v>
      </c>
      <c r="AD10" s="36">
        <v>112513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7DE3-6FFE-41DD-B111-2ECD7ABCA273}">
  <dimension ref="A3:F20"/>
  <sheetViews>
    <sheetView workbookViewId="0">
      <selection activeCell="E34" sqref="E34"/>
    </sheetView>
  </sheetViews>
  <sheetFormatPr defaultRowHeight="14.25"/>
  <cols>
    <col min="1" max="1" width="15.75" bestFit="1" customWidth="1"/>
    <col min="2" max="2" width="15.25" bestFit="1" customWidth="1"/>
    <col min="3" max="3" width="17.625" bestFit="1" customWidth="1"/>
    <col min="4" max="4" width="12.75" bestFit="1" customWidth="1"/>
    <col min="5" max="5" width="9.875" bestFit="1" customWidth="1"/>
    <col min="6" max="6" width="11.375" bestFit="1" customWidth="1"/>
  </cols>
  <sheetData>
    <row r="3" spans="1:6">
      <c r="A3" s="21" t="s">
        <v>522</v>
      </c>
      <c r="B3" s="21" t="s">
        <v>40</v>
      </c>
      <c r="C3" s="21" t="s">
        <v>157</v>
      </c>
      <c r="D3" s="57" t="s">
        <v>486</v>
      </c>
      <c r="E3" s="57" t="s">
        <v>487</v>
      </c>
      <c r="F3" s="57" t="s">
        <v>461</v>
      </c>
    </row>
    <row r="4" spans="1:6">
      <c r="A4" s="56">
        <v>1</v>
      </c>
      <c r="B4" s="1" t="s">
        <v>240</v>
      </c>
      <c r="C4" s="1" t="s">
        <v>7</v>
      </c>
      <c r="D4" s="35">
        <v>33359</v>
      </c>
      <c r="E4" s="35">
        <v>26119</v>
      </c>
      <c r="F4" s="63">
        <v>-7240</v>
      </c>
    </row>
    <row r="5" spans="1:6">
      <c r="A5" s="56">
        <v>2</v>
      </c>
      <c r="B5" s="1" t="s">
        <v>287</v>
      </c>
      <c r="C5" s="1" t="s">
        <v>7</v>
      </c>
      <c r="D5" s="35">
        <v>519</v>
      </c>
      <c r="E5" s="35">
        <v>519</v>
      </c>
      <c r="F5" s="63">
        <v>0</v>
      </c>
    </row>
    <row r="6" spans="1:6">
      <c r="A6" s="56">
        <v>3</v>
      </c>
      <c r="B6" s="1" t="s">
        <v>240</v>
      </c>
      <c r="C6" s="1" t="s">
        <v>7</v>
      </c>
      <c r="D6" s="35">
        <v>12585</v>
      </c>
      <c r="E6" s="35">
        <v>12426</v>
      </c>
      <c r="F6" s="63">
        <v>-159</v>
      </c>
    </row>
    <row r="7" spans="1:6">
      <c r="A7" s="56">
        <v>4</v>
      </c>
      <c r="B7" s="1" t="s">
        <v>338</v>
      </c>
      <c r="C7" s="1" t="s">
        <v>339</v>
      </c>
      <c r="D7" s="35">
        <v>3700</v>
      </c>
      <c r="E7" s="35">
        <v>3700</v>
      </c>
      <c r="F7" s="63">
        <v>0</v>
      </c>
    </row>
    <row r="8" spans="1:6">
      <c r="A8" s="56">
        <v>5</v>
      </c>
      <c r="B8" s="1" t="s">
        <v>456</v>
      </c>
      <c r="C8" s="1" t="s">
        <v>457</v>
      </c>
      <c r="D8" s="35">
        <v>12</v>
      </c>
      <c r="E8" s="35">
        <v>12</v>
      </c>
      <c r="F8" s="63">
        <v>0</v>
      </c>
    </row>
    <row r="9" spans="1:6">
      <c r="A9" s="56">
        <v>6</v>
      </c>
      <c r="B9" s="1" t="s">
        <v>460</v>
      </c>
      <c r="C9" s="1" t="s">
        <v>7</v>
      </c>
      <c r="D9" s="35">
        <v>467</v>
      </c>
      <c r="E9" s="35">
        <v>434</v>
      </c>
      <c r="F9" s="63">
        <v>-33</v>
      </c>
    </row>
    <row r="10" spans="1:6">
      <c r="A10" s="56">
        <v>7</v>
      </c>
      <c r="B10" s="1" t="s">
        <v>338</v>
      </c>
      <c r="C10" s="1" t="s">
        <v>339</v>
      </c>
      <c r="D10" s="35">
        <v>257</v>
      </c>
      <c r="E10" s="35">
        <v>257</v>
      </c>
      <c r="F10" s="63">
        <v>0</v>
      </c>
    </row>
    <row r="11" spans="1:6">
      <c r="A11" s="56">
        <v>8</v>
      </c>
      <c r="B11" s="1" t="s">
        <v>465</v>
      </c>
      <c r="C11" s="1" t="s">
        <v>339</v>
      </c>
      <c r="D11" s="35">
        <v>2000</v>
      </c>
      <c r="E11" s="35">
        <v>2000</v>
      </c>
      <c r="F11" s="63">
        <v>0</v>
      </c>
    </row>
    <row r="12" spans="1:6">
      <c r="A12" s="56">
        <v>9</v>
      </c>
      <c r="B12" s="1" t="s">
        <v>240</v>
      </c>
      <c r="C12" s="1" t="s">
        <v>7</v>
      </c>
      <c r="D12" s="35">
        <v>14097</v>
      </c>
      <c r="E12" s="35">
        <v>8307</v>
      </c>
      <c r="F12" s="63">
        <v>-5790</v>
      </c>
    </row>
    <row r="13" spans="1:6">
      <c r="A13" s="56">
        <v>10</v>
      </c>
      <c r="B13" s="1" t="s">
        <v>476</v>
      </c>
      <c r="C13" s="1" t="s">
        <v>339</v>
      </c>
      <c r="D13" s="35">
        <v>12425</v>
      </c>
      <c r="E13" s="35">
        <v>5472</v>
      </c>
      <c r="F13" s="63">
        <v>-6953</v>
      </c>
    </row>
    <row r="14" spans="1:6">
      <c r="A14" s="56">
        <v>11</v>
      </c>
      <c r="B14" s="1" t="s">
        <v>465</v>
      </c>
      <c r="C14" s="1" t="s">
        <v>339</v>
      </c>
      <c r="D14" s="35">
        <v>4500</v>
      </c>
      <c r="E14" s="35">
        <v>4500</v>
      </c>
      <c r="F14" s="63">
        <v>0</v>
      </c>
    </row>
    <row r="15" spans="1:6">
      <c r="A15" s="56">
        <v>12</v>
      </c>
      <c r="B15" s="1" t="s">
        <v>240</v>
      </c>
      <c r="C15" s="1" t="s">
        <v>7</v>
      </c>
      <c r="D15" s="35">
        <v>3390</v>
      </c>
      <c r="E15" s="35">
        <v>3300</v>
      </c>
      <c r="F15" s="63">
        <v>-90</v>
      </c>
    </row>
    <row r="16" spans="1:6">
      <c r="A16" s="56">
        <v>13</v>
      </c>
      <c r="B16" s="1" t="s">
        <v>507</v>
      </c>
      <c r="C16" s="1" t="s">
        <v>7</v>
      </c>
      <c r="D16" s="35">
        <v>9392</v>
      </c>
      <c r="E16" s="35">
        <v>6816</v>
      </c>
      <c r="F16" s="63">
        <v>-2576</v>
      </c>
    </row>
    <row r="17" spans="1:6">
      <c r="A17" s="56">
        <v>14</v>
      </c>
      <c r="B17" s="1" t="s">
        <v>507</v>
      </c>
      <c r="C17" s="1" t="s">
        <v>7</v>
      </c>
      <c r="D17" s="35">
        <v>2877</v>
      </c>
      <c r="E17" s="35">
        <v>3118</v>
      </c>
      <c r="F17" s="63">
        <v>241</v>
      </c>
    </row>
    <row r="18" spans="1:6">
      <c r="A18" s="56">
        <v>15</v>
      </c>
      <c r="B18" s="1" t="s">
        <v>530</v>
      </c>
      <c r="C18" s="1" t="s">
        <v>7</v>
      </c>
      <c r="D18" s="35">
        <v>12933</v>
      </c>
      <c r="E18" s="35">
        <v>4541</v>
      </c>
      <c r="F18" s="63">
        <v>-8392</v>
      </c>
    </row>
    <row r="19" spans="1:6">
      <c r="A19" s="56" t="s">
        <v>521</v>
      </c>
      <c r="B19" s="1" t="s">
        <v>521</v>
      </c>
      <c r="C19" s="1" t="s">
        <v>521</v>
      </c>
      <c r="D19" s="35"/>
      <c r="E19" s="35"/>
      <c r="F19" s="63"/>
    </row>
    <row r="20" spans="1:6">
      <c r="A20" s="1" t="s">
        <v>159</v>
      </c>
      <c r="B20" s="1"/>
      <c r="C20" s="1"/>
      <c r="D20" s="35">
        <v>112513</v>
      </c>
      <c r="E20" s="35">
        <v>81521</v>
      </c>
      <c r="F20" s="63">
        <v>-30992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DESCRICAO PRODUTO</vt:lpstr>
      <vt:lpstr>DINAMICA</vt:lpstr>
      <vt:lpstr>SOLICITACOES </vt:lpstr>
      <vt:lpstr>PALETIZACAO</vt:lpstr>
      <vt:lpstr>CRONOGRAMA DE ENTREGA</vt:lpstr>
      <vt:lpstr>RESUMO- STATUS DE ENVIO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Gama de Oliveira</dc:creator>
  <cp:lastModifiedBy>julio bispo dos santos neto</cp:lastModifiedBy>
  <cp:lastPrinted>2026-08-13T14:05:44Z</cp:lastPrinted>
  <dcterms:created xsi:type="dcterms:W3CDTF">2025-01-30T13:56:37Z</dcterms:created>
  <dcterms:modified xsi:type="dcterms:W3CDTF">2026-08-23T06:16:06Z</dcterms:modified>
</cp:coreProperties>
</file>